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MyMaterial/sequence_models/"/>
    </mc:Choice>
  </mc:AlternateContent>
  <xr:revisionPtr revIDLastSave="0" documentId="13_ncr:1_{FB43016F-BD96-BE47-A038-E167F01FA24B}" xr6:coauthVersionLast="47" xr6:coauthVersionMax="47" xr10:uidLastSave="{00000000-0000-0000-0000-000000000000}"/>
  <bookViews>
    <workbookView xWindow="0" yWindow="500" windowWidth="28800" windowHeight="16060" activeTab="2" xr2:uid="{EA0C6A45-9098-3045-B6B2-2B0794646868}"/>
  </bookViews>
  <sheets>
    <sheet name="small" sheetId="2" r:id="rId1"/>
    <sheet name="large" sheetId="3" r:id="rId2"/>
    <sheet name="small with featur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N19" i="4" a="1"/>
  <c r="N19" i="4" s="1"/>
  <c r="X10" i="4"/>
  <c r="X9" i="4"/>
  <c r="X8" i="4"/>
  <c r="X7" i="4"/>
  <c r="U10" i="4"/>
  <c r="U9" i="4"/>
  <c r="U8" i="4"/>
  <c r="U7" i="4"/>
  <c r="R10" i="4"/>
  <c r="R9" i="4"/>
  <c r="R8" i="4"/>
  <c r="R7" i="4"/>
  <c r="O10" i="4"/>
  <c r="O9" i="4"/>
  <c r="O8" i="4"/>
  <c r="O7" i="4"/>
  <c r="R27" i="3" a="1"/>
  <c r="N19" i="2" a="1"/>
  <c r="O24" i="4" l="1"/>
  <c r="O26" i="4"/>
  <c r="R16" i="4" s="1"/>
  <c r="O25" i="4"/>
  <c r="R15" i="4" s="1"/>
  <c r="N25" i="4"/>
  <c r="Q15" i="4" s="1"/>
  <c r="N26" i="4"/>
  <c r="Q16" i="4" s="1"/>
  <c r="N24" i="4"/>
  <c r="R27" i="3"/>
  <c r="R41" i="3"/>
  <c r="T23" i="3" s="1"/>
  <c r="R40" i="3"/>
  <c r="T22" i="3" s="1"/>
  <c r="R39" i="3"/>
  <c r="T21" i="3" s="1"/>
  <c r="R38" i="3"/>
  <c r="T20" i="3" s="1"/>
  <c r="R37" i="3"/>
  <c r="T19" i="3" s="1"/>
  <c r="R36" i="3"/>
  <c r="N26" i="2"/>
  <c r="P16" i="2" s="1"/>
  <c r="N25" i="2"/>
  <c r="P15" i="2" s="1"/>
  <c r="N19" i="2"/>
  <c r="N24" i="2" s="1"/>
  <c r="N30" i="2" s="1" a="1"/>
  <c r="N30" i="2" s="1"/>
  <c r="N30" i="4" l="1" a="1"/>
  <c r="R14" i="4"/>
  <c r="Q14" i="4"/>
  <c r="T18" i="3"/>
  <c r="T27" i="3" s="1" a="1"/>
  <c r="R45" i="3" a="1"/>
  <c r="N34" i="2"/>
  <c r="P14" i="2"/>
  <c r="P19" i="2" s="1" a="1"/>
  <c r="Q19" i="4" l="1" a="1"/>
  <c r="Q19" i="4" s="1"/>
  <c r="N30" i="4"/>
  <c r="N34" i="4" s="1"/>
  <c r="O34" i="4"/>
  <c r="T39" i="3"/>
  <c r="V21" i="3" s="1"/>
  <c r="T40" i="3"/>
  <c r="V22" i="3" s="1"/>
  <c r="T41" i="3"/>
  <c r="V23" i="3" s="1"/>
  <c r="T27" i="3"/>
  <c r="R45" i="3"/>
  <c r="R58" i="3" s="1"/>
  <c r="R59" i="3"/>
  <c r="R72" i="3" s="1"/>
  <c r="R60" i="3"/>
  <c r="R61" i="3"/>
  <c r="R74" i="3" s="1"/>
  <c r="R62" i="3"/>
  <c r="R75" i="3" s="1"/>
  <c r="R63" i="3"/>
  <c r="R76" i="3" s="1"/>
  <c r="R64" i="3"/>
  <c r="R77" i="3" s="1"/>
  <c r="R65" i="3"/>
  <c r="R66" i="3"/>
  <c r="R79" i="3" s="1"/>
  <c r="R67" i="3"/>
  <c r="R80" i="3" s="1"/>
  <c r="T36" i="3"/>
  <c r="T37" i="3"/>
  <c r="V19" i="3" s="1"/>
  <c r="T38" i="3"/>
  <c r="V20" i="3" s="1"/>
  <c r="P19" i="2"/>
  <c r="P24" i="2" s="1"/>
  <c r="P25" i="2"/>
  <c r="R15" i="2" s="1"/>
  <c r="P26" i="2"/>
  <c r="R16" i="2" s="1"/>
  <c r="Q24" i="4" l="1"/>
  <c r="T14" i="4" s="1"/>
  <c r="Q25" i="4"/>
  <c r="T15" i="4" s="1"/>
  <c r="R24" i="4"/>
  <c r="Q26" i="4"/>
  <c r="T16" i="4" s="1"/>
  <c r="R25" i="4"/>
  <c r="U15" i="4" s="1"/>
  <c r="R26" i="4"/>
  <c r="U16" i="4" s="1"/>
  <c r="P30" i="2" a="1"/>
  <c r="P30" i="2" s="1"/>
  <c r="P34" i="2" s="1"/>
  <c r="R71" i="3"/>
  <c r="R78" i="3"/>
  <c r="R73" i="3"/>
  <c r="T45" i="3" a="1"/>
  <c r="T45" i="3" s="1"/>
  <c r="T58" i="3" s="1"/>
  <c r="V18" i="3"/>
  <c r="V27" i="3" a="1"/>
  <c r="R14" i="2"/>
  <c r="R19" i="2" s="1" a="1"/>
  <c r="U14" i="4" l="1"/>
  <c r="T19" i="4" s="1" a="1"/>
  <c r="T19" i="4" s="1"/>
  <c r="Q30" i="4" a="1"/>
  <c r="T59" i="3"/>
  <c r="T60" i="3"/>
  <c r="T61" i="3"/>
  <c r="T62" i="3"/>
  <c r="T63" i="3"/>
  <c r="T65" i="3"/>
  <c r="T66" i="3"/>
  <c r="T64" i="3"/>
  <c r="T67" i="3"/>
  <c r="T80" i="3" s="1"/>
  <c r="V39" i="3"/>
  <c r="X21" i="3" s="1"/>
  <c r="V40" i="3"/>
  <c r="X22" i="3" s="1"/>
  <c r="V41" i="3"/>
  <c r="X23" i="3" s="1"/>
  <c r="V27" i="3"/>
  <c r="V36" i="3" s="1"/>
  <c r="V38" i="3"/>
  <c r="X20" i="3" s="1"/>
  <c r="V37" i="3"/>
  <c r="X19" i="3" s="1"/>
  <c r="R19" i="2"/>
  <c r="R24" i="2" s="1"/>
  <c r="R25" i="2"/>
  <c r="T15" i="2" s="1"/>
  <c r="R26" i="2"/>
  <c r="T16" i="2" s="1"/>
  <c r="Q30" i="4" l="1"/>
  <c r="Q34" i="4" s="1"/>
  <c r="R34" i="4"/>
  <c r="U26" i="4"/>
  <c r="X16" i="4" s="1"/>
  <c r="U24" i="4"/>
  <c r="U25" i="4"/>
  <c r="X15" i="4" s="1"/>
  <c r="T25" i="4"/>
  <c r="W15" i="4" s="1"/>
  <c r="T26" i="4"/>
  <c r="W16" i="4" s="1"/>
  <c r="T24" i="4"/>
  <c r="W14" i="4" s="1"/>
  <c r="R30" i="2" a="1"/>
  <c r="R30" i="2" s="1"/>
  <c r="R34" i="2" s="1"/>
  <c r="T77" i="3"/>
  <c r="T71" i="3"/>
  <c r="T72" i="3"/>
  <c r="T73" i="3"/>
  <c r="T74" i="3"/>
  <c r="T75" i="3"/>
  <c r="T76" i="3"/>
  <c r="T78" i="3"/>
  <c r="T79" i="3"/>
  <c r="X18" i="3"/>
  <c r="X27" i="3" s="1" a="1"/>
  <c r="V45" i="3" a="1"/>
  <c r="T14" i="2"/>
  <c r="T19" i="2" s="1" a="1"/>
  <c r="T30" i="4" l="1" a="1"/>
  <c r="X14" i="4"/>
  <c r="W19" i="4" s="1" a="1"/>
  <c r="W19" i="4" s="1"/>
  <c r="V63" i="3"/>
  <c r="V66" i="3"/>
  <c r="V59" i="3"/>
  <c r="V61" i="3"/>
  <c r="V60" i="3"/>
  <c r="V62" i="3"/>
  <c r="V64" i="3"/>
  <c r="V65" i="3"/>
  <c r="V67" i="3"/>
  <c r="V45" i="3"/>
  <c r="V58" i="3" s="1"/>
  <c r="X41" i="3"/>
  <c r="Z23" i="3" s="1"/>
  <c r="X39" i="3"/>
  <c r="Z21" i="3" s="1"/>
  <c r="X40" i="3"/>
  <c r="Z22" i="3" s="1"/>
  <c r="X27" i="3"/>
  <c r="X36" i="3" s="1"/>
  <c r="X37" i="3"/>
  <c r="Z19" i="3" s="1"/>
  <c r="X38" i="3"/>
  <c r="Z20" i="3" s="1"/>
  <c r="T19" i="2"/>
  <c r="T24" i="2" s="1"/>
  <c r="T26" i="2"/>
  <c r="T25" i="2"/>
  <c r="T30" i="4" l="1"/>
  <c r="T34" i="4" s="1"/>
  <c r="U34" i="4"/>
  <c r="T30" i="2" a="1"/>
  <c r="T30" i="2" s="1"/>
  <c r="T34" i="2" s="1"/>
  <c r="W24" i="4"/>
  <c r="X25" i="4"/>
  <c r="X26" i="4"/>
  <c r="W25" i="4"/>
  <c r="X24" i="4"/>
  <c r="W26" i="4"/>
  <c r="V79" i="3"/>
  <c r="V71" i="3"/>
  <c r="V73" i="3"/>
  <c r="V78" i="3"/>
  <c r="V76" i="3"/>
  <c r="V72" i="3"/>
  <c r="V74" i="3"/>
  <c r="V77" i="3"/>
  <c r="V80" i="3"/>
  <c r="V75" i="3"/>
  <c r="Z18" i="3"/>
  <c r="X45" i="3" a="1"/>
  <c r="Z27" i="3" a="1"/>
  <c r="W30" i="4" l="1" a="1"/>
  <c r="X60" i="3"/>
  <c r="X61" i="3"/>
  <c r="X62" i="3"/>
  <c r="X65" i="3"/>
  <c r="X63" i="3"/>
  <c r="X64" i="3"/>
  <c r="X67" i="3"/>
  <c r="X59" i="3"/>
  <c r="X66" i="3"/>
  <c r="X45" i="3"/>
  <c r="X58" i="3" s="1"/>
  <c r="Z38" i="3"/>
  <c r="AB20" i="3" s="1"/>
  <c r="Z37" i="3"/>
  <c r="AB19" i="3" s="1"/>
  <c r="Z27" i="3"/>
  <c r="Z36" i="3" s="1"/>
  <c r="Z41" i="3"/>
  <c r="AB23" i="3" s="1"/>
  <c r="Z40" i="3"/>
  <c r="AB22" i="3" s="1"/>
  <c r="Z39" i="3"/>
  <c r="AB21" i="3" s="1"/>
  <c r="X34" i="4" l="1"/>
  <c r="W30" i="4"/>
  <c r="W34" i="4" s="1"/>
  <c r="X79" i="3"/>
  <c r="X73" i="3"/>
  <c r="X74" i="3"/>
  <c r="X75" i="3"/>
  <c r="X78" i="3"/>
  <c r="X76" i="3"/>
  <c r="X77" i="3"/>
  <c r="X80" i="3"/>
  <c r="X72" i="3"/>
  <c r="X71" i="3"/>
  <c r="AB18" i="3"/>
  <c r="AB27" i="3" s="1" a="1"/>
  <c r="Z45" i="3" a="1"/>
  <c r="Z62" i="3" l="1"/>
  <c r="Z66" i="3"/>
  <c r="Z67" i="3"/>
  <c r="Z61" i="3"/>
  <c r="Z59" i="3"/>
  <c r="Z60" i="3"/>
  <c r="Z63" i="3"/>
  <c r="Z64" i="3"/>
  <c r="Z65" i="3"/>
  <c r="Z45" i="3"/>
  <c r="Z58" i="3" s="1"/>
  <c r="AB41" i="3"/>
  <c r="AB40" i="3"/>
  <c r="AB39" i="3"/>
  <c r="AB27" i="3"/>
  <c r="AB36" i="3" s="1"/>
  <c r="AB38" i="3"/>
  <c r="AB37" i="3"/>
  <c r="Z74" i="3" l="1"/>
  <c r="Z72" i="3"/>
  <c r="Z75" i="3"/>
  <c r="Z79" i="3"/>
  <c r="Z80" i="3"/>
  <c r="Z73" i="3"/>
  <c r="Z76" i="3"/>
  <c r="Z78" i="3"/>
  <c r="Z71" i="3"/>
  <c r="Z77" i="3"/>
  <c r="AB45" i="3" a="1"/>
  <c r="AB45" i="3" l="1"/>
  <c r="AB58" i="3" s="1"/>
  <c r="AB65" i="3"/>
  <c r="AB78" i="3" s="1"/>
  <c r="AB64" i="3"/>
  <c r="AB63" i="3"/>
  <c r="AB67" i="3"/>
  <c r="AB66" i="3"/>
  <c r="AB62" i="3"/>
  <c r="AB61" i="3"/>
  <c r="AB60" i="3"/>
  <c r="AB59" i="3"/>
  <c r="AB80" i="3" l="1"/>
  <c r="AB79" i="3"/>
  <c r="AB75" i="3"/>
  <c r="AB74" i="3"/>
  <c r="AB73" i="3"/>
  <c r="AB72" i="3"/>
  <c r="AB71" i="3"/>
  <c r="AB77" i="3"/>
  <c r="AB7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<sst xmlns="http://schemas.openxmlformats.org/spreadsheetml/2006/main" count="118" uniqueCount="64">
  <si>
    <t>Input Dim</t>
  </si>
  <si>
    <t>Output Dim</t>
  </si>
  <si>
    <t>Hidden State Dim</t>
  </si>
  <si>
    <t>Sequence Length</t>
  </si>
  <si>
    <t>X1</t>
  </si>
  <si>
    <t>X2</t>
  </si>
  <si>
    <t>X3</t>
  </si>
  <si>
    <t>X4</t>
  </si>
  <si>
    <t>Time</t>
  </si>
  <si>
    <t>t=1</t>
  </si>
  <si>
    <t>t=2</t>
  </si>
  <si>
    <t>t=3</t>
  </si>
  <si>
    <t>t=4</t>
  </si>
  <si>
    <t>Y</t>
  </si>
  <si>
    <t>F{t} = Wx*X{t} + Wh*H{t-1} + bh</t>
  </si>
  <si>
    <t>H{t} = tanh(A{t})</t>
  </si>
  <si>
    <t>Input Sequence</t>
  </si>
  <si>
    <t>O{t} = Wy * H{t} + by</t>
  </si>
  <si>
    <t>bh (h x 1)</t>
  </si>
  <si>
    <t>Wh (Waa) (h x h)</t>
  </si>
  <si>
    <t>Wx (Wax) (h x d)</t>
  </si>
  <si>
    <t>Wy (Way) (o x h)</t>
  </si>
  <si>
    <t>by (o x 1)</t>
  </si>
  <si>
    <t>d</t>
  </si>
  <si>
    <t>o</t>
  </si>
  <si>
    <t>h</t>
  </si>
  <si>
    <t>Hidden States</t>
  </si>
  <si>
    <t>H0</t>
  </si>
  <si>
    <t>H1</t>
  </si>
  <si>
    <t>H2</t>
  </si>
  <si>
    <t>H3</t>
  </si>
  <si>
    <t>t=5</t>
  </si>
  <si>
    <t>t=6</t>
  </si>
  <si>
    <t>X5</t>
  </si>
  <si>
    <t>X6</t>
  </si>
  <si>
    <t>H4</t>
  </si>
  <si>
    <t>H5</t>
  </si>
  <si>
    <t>exp()</t>
  </si>
  <si>
    <t>HA0</t>
  </si>
  <si>
    <t>HB0</t>
  </si>
  <si>
    <t>HA1</t>
  </si>
  <si>
    <t>HB1</t>
  </si>
  <si>
    <t>HA2</t>
  </si>
  <si>
    <t>HB2</t>
  </si>
  <si>
    <t>HA3</t>
  </si>
  <si>
    <t>HB3</t>
  </si>
  <si>
    <r>
      <t>N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batch size</t>
    </r>
  </si>
  <si>
    <r>
      <t>L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sequence length</t>
    </r>
  </si>
  <si>
    <r>
      <t>D</t>
    </r>
    <r>
      <rPr>
        <sz val="12"/>
        <color rgb="FFC678DD"/>
        <rFont val="Menlo"/>
        <family val="3"/>
      </rPr>
      <t>=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 </t>
    </r>
    <r>
      <rPr>
        <sz val="12"/>
        <color rgb="FFC678DD"/>
        <rFont val="Menlo"/>
        <family val="3"/>
      </rPr>
      <t>if</t>
    </r>
    <r>
      <rPr>
        <sz val="12"/>
        <color rgb="FFABB2BF"/>
        <rFont val="Menlo"/>
        <family val="3"/>
      </rPr>
      <t xml:space="preserve"> bidirectional</t>
    </r>
    <r>
      <rPr>
        <sz val="12"/>
        <color rgb="FFC678DD"/>
        <rFont val="Menlo"/>
        <family val="3"/>
      </rPr>
      <t>=</t>
    </r>
    <r>
      <rPr>
        <sz val="12"/>
        <color rgb="FFD19A66"/>
        <rFont val="Menlo"/>
        <family val="3"/>
      </rPr>
      <t>True</t>
    </r>
    <r>
      <rPr>
        <sz val="12"/>
        <color rgb="FFABB2BF"/>
        <rFont val="Menlo"/>
        <family val="3"/>
      </rPr>
      <t xml:space="preserve"> otherwise </t>
    </r>
    <r>
      <rPr>
        <sz val="12"/>
        <color rgb="FFD19A66"/>
        <rFont val="Menlo"/>
        <family val="3"/>
      </rPr>
      <t>1</t>
    </r>
  </si>
  <si>
    <r>
      <t>Hin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input_size</t>
    </r>
  </si>
  <si>
    <r>
      <t>Hcell​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hidden_size</t>
    </r>
  </si>
  <si>
    <r>
      <t>Hout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 xml:space="preserve">proj_size </t>
    </r>
    <r>
      <rPr>
        <sz val="12"/>
        <color rgb="FFC678DD"/>
        <rFont val="Menlo"/>
        <family val="3"/>
      </rPr>
      <t>if</t>
    </r>
    <r>
      <rPr>
        <sz val="12"/>
        <color rgb="FFABB2BF"/>
        <rFont val="Menlo"/>
        <family val="3"/>
      </rPr>
      <t xml:space="preserve"> proj_size</t>
    </r>
    <r>
      <rPr>
        <sz val="12"/>
        <color rgb="FFC678DD"/>
        <rFont val="Menlo"/>
        <family val="3"/>
      </rPr>
      <t>&gt;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 xml:space="preserve"> otherwise hidden_size</t>
    </r>
  </si>
  <si>
    <t>(N, L, Hin)</t>
  </si>
  <si>
    <t>N</t>
  </si>
  <si>
    <t>X{1}_t=1</t>
  </si>
  <si>
    <t>X{1}_t=2</t>
  </si>
  <si>
    <t>X{1}_t=3</t>
  </si>
  <si>
    <t>X{1}_t=4</t>
  </si>
  <si>
    <t>X{2}_t=1</t>
  </si>
  <si>
    <t>X{2}_t=2</t>
  </si>
  <si>
    <t>X{2}_t=3</t>
  </si>
  <si>
    <t>X{2}_t=4</t>
  </si>
  <si>
    <t>bih (h x 1)</t>
  </si>
  <si>
    <t>Check : explainers_w1_rnn_calculations.py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</si>
</sst>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ABB2BF"/>
      <name val="Menlo"/>
      <family val="3"/>
    </font>
    <font>
      <sz val="8"/>
      <name val="Calibri"/>
      <family val="2"/>
      <scheme val="minor"/>
    </font>
    <font>
      <sz val="12"/>
      <color rgb="FFC678DD"/>
      <name val="Menlo"/>
      <family val="3"/>
    </font>
    <font>
      <sz val="12"/>
      <color rgb="FFD19A66"/>
      <name val="Menlo"/>
      <family val="3"/>
    </font>
    <font>
      <sz val="12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D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0" borderId="0" xfId="0" applyNumberFormat="1" applyFont="1"/>
    <xf numFmtId="0" fontId="0" fillId="9" borderId="0" xfId="0" applyFill="1"/>
    <xf numFmtId="0" fontId="7" fillId="9" borderId="0" xfId="0" applyFont="1" applyFill="1"/>
    <xf numFmtId="0" fontId="0" fillId="9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D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180212</xdr:rowOff>
    </xdr:from>
    <xdr:to>
      <xdr:col>6</xdr:col>
      <xdr:colOff>19539</xdr:colOff>
      <xdr:row>39</xdr:row>
      <xdr:rowOff>10226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3E998-090F-2B42-AE19-74FD15CF2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12"/>
          <a:ext cx="4943231" cy="7450014"/>
        </a:xfrm>
        <a:prstGeom prst="rect">
          <a:avLst/>
        </a:prstGeom>
      </xdr:spPr>
    </xdr:pic>
    <xdr:clientData/>
  </xdr:twoCellAnchor>
  <xdr:twoCellAnchor>
    <xdr:from>
      <xdr:col>13</xdr:col>
      <xdr:colOff>702555</xdr:colOff>
      <xdr:row>14</xdr:row>
      <xdr:rowOff>135110</xdr:rowOff>
    </xdr:from>
    <xdr:to>
      <xdr:col>15</xdr:col>
      <xdr:colOff>175639</xdr:colOff>
      <xdr:row>24</xdr:row>
      <xdr:rowOff>175638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762EFFA6-E458-3147-991B-1410E92C75ED}"/>
            </a:ext>
          </a:extLst>
        </xdr:cNvPr>
        <xdr:cNvCxnSpPr/>
      </xdr:nvCxnSpPr>
      <xdr:spPr>
        <a:xfrm rot="5400000">
          <a:off x="8997683" y="3866882"/>
          <a:ext cx="2072528" cy="298584"/>
        </a:xfrm>
        <a:prstGeom prst="bentConnector3">
          <a:avLst>
            <a:gd name="adj1" fmla="val 50000"/>
          </a:avLst>
        </a:prstGeom>
        <a:ln w="28575">
          <a:solidFill>
            <a:srgbClr val="00B05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39</xdr:row>
      <xdr:rowOff>58616</xdr:rowOff>
    </xdr:from>
    <xdr:to>
      <xdr:col>6</xdr:col>
      <xdr:colOff>19538</xdr:colOff>
      <xdr:row>53</xdr:row>
      <xdr:rowOff>155331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7B0B9A-A31D-59A5-943A-553603965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8616"/>
          <a:ext cx="4943230" cy="2832100"/>
        </a:xfrm>
        <a:prstGeom prst="rect">
          <a:avLst/>
        </a:prstGeom>
      </xdr:spPr>
    </xdr:pic>
    <xdr:clientData/>
  </xdr:twoCellAnchor>
  <xdr:twoCellAnchor>
    <xdr:from>
      <xdr:col>7</xdr:col>
      <xdr:colOff>58616</xdr:colOff>
      <xdr:row>13</xdr:row>
      <xdr:rowOff>0</xdr:rowOff>
    </xdr:from>
    <xdr:to>
      <xdr:col>7</xdr:col>
      <xdr:colOff>63500</xdr:colOff>
      <xdr:row>15</xdr:row>
      <xdr:rowOff>156308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A2D2BD4-EF31-1C49-B395-D772247B0B5F}"/>
            </a:ext>
          </a:extLst>
        </xdr:cNvPr>
        <xdr:cNvCxnSpPr/>
      </xdr:nvCxnSpPr>
      <xdr:spPr>
        <a:xfrm flipV="1">
          <a:off x="5666154" y="2540000"/>
          <a:ext cx="4884" cy="547077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18</xdr:row>
      <xdr:rowOff>0</xdr:rowOff>
    </xdr:from>
    <xdr:to>
      <xdr:col>7</xdr:col>
      <xdr:colOff>63500</xdr:colOff>
      <xdr:row>20</xdr:row>
      <xdr:rowOff>156308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19B4799-D7FA-2A48-85EB-AD39E453A384}"/>
            </a:ext>
          </a:extLst>
        </xdr:cNvPr>
        <xdr:cNvCxnSpPr/>
      </xdr:nvCxnSpPr>
      <xdr:spPr>
        <a:xfrm flipV="1">
          <a:off x="5666154" y="3516923"/>
          <a:ext cx="4884" cy="547077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22</xdr:row>
      <xdr:rowOff>156308</xdr:rowOff>
    </xdr:from>
    <xdr:to>
      <xdr:col>7</xdr:col>
      <xdr:colOff>63500</xdr:colOff>
      <xdr:row>25</xdr:row>
      <xdr:rowOff>117232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EE12542-4352-FB4E-8EB2-EB0487DF212A}"/>
            </a:ext>
          </a:extLst>
        </xdr:cNvPr>
        <xdr:cNvCxnSpPr/>
      </xdr:nvCxnSpPr>
      <xdr:spPr>
        <a:xfrm flipV="1">
          <a:off x="5666154" y="4454770"/>
          <a:ext cx="4884" cy="547077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29</xdr:row>
      <xdr:rowOff>0</xdr:rowOff>
    </xdr:from>
    <xdr:to>
      <xdr:col>7</xdr:col>
      <xdr:colOff>39076</xdr:colOff>
      <xdr:row>31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B9DAE3C-F3F4-D74B-A9CD-6CEE56E0B133}"/>
            </a:ext>
          </a:extLst>
        </xdr:cNvPr>
        <xdr:cNvCxnSpPr/>
      </xdr:nvCxnSpPr>
      <xdr:spPr>
        <a:xfrm>
          <a:off x="5646614" y="5666154"/>
          <a:ext cx="0" cy="390769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33</xdr:row>
      <xdr:rowOff>0</xdr:rowOff>
    </xdr:from>
    <xdr:to>
      <xdr:col>7</xdr:col>
      <xdr:colOff>39076</xdr:colOff>
      <xdr:row>35</xdr:row>
      <xdr:rowOff>-1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DCA5B6E-FFB8-4C49-9EC3-888967917FA4}"/>
            </a:ext>
          </a:extLst>
        </xdr:cNvPr>
        <xdr:cNvCxnSpPr/>
      </xdr:nvCxnSpPr>
      <xdr:spPr>
        <a:xfrm>
          <a:off x="5646614" y="6447692"/>
          <a:ext cx="0" cy="390769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180212</xdr:rowOff>
    </xdr:from>
    <xdr:to>
      <xdr:col>6</xdr:col>
      <xdr:colOff>19539</xdr:colOff>
      <xdr:row>39</xdr:row>
      <xdr:rowOff>10226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3C7F5-366E-1641-B341-8C664C02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12"/>
          <a:ext cx="4972539" cy="7754814"/>
        </a:xfrm>
        <a:prstGeom prst="rect">
          <a:avLst/>
        </a:prstGeom>
      </xdr:spPr>
    </xdr:pic>
    <xdr:clientData/>
  </xdr:twoCellAnchor>
  <xdr:twoCellAnchor>
    <xdr:from>
      <xdr:col>17</xdr:col>
      <xdr:colOff>751688</xdr:colOff>
      <xdr:row>19</xdr:row>
      <xdr:rowOff>68668</xdr:rowOff>
    </xdr:from>
    <xdr:to>
      <xdr:col>19</xdr:col>
      <xdr:colOff>152400</xdr:colOff>
      <xdr:row>37</xdr:row>
      <xdr:rowOff>187571</xdr:rowOff>
    </xdr:to>
    <xdr:cxnSp macro="">
      <xdr:nvCxnSpPr>
        <xdr:cNvPr id="3" name="Elbow Connector 2">
          <a:extLst>
            <a:ext uri="{FF2B5EF4-FFF2-40B4-BE49-F238E27FC236}">
              <a16:creationId xmlns:a16="http://schemas.microsoft.com/office/drawing/2014/main" id="{2EACA208-F6B4-B84E-8BD8-90DC58FC6D80}"/>
            </a:ext>
          </a:extLst>
        </xdr:cNvPr>
        <xdr:cNvCxnSpPr/>
      </xdr:nvCxnSpPr>
      <xdr:spPr>
        <a:xfrm rot="5400000">
          <a:off x="9359352" y="5765950"/>
          <a:ext cx="3887034" cy="447415"/>
        </a:xfrm>
        <a:prstGeom prst="bentConnector3">
          <a:avLst>
            <a:gd name="adj1" fmla="val 49279"/>
          </a:avLst>
        </a:prstGeom>
        <a:ln w="28575">
          <a:solidFill>
            <a:srgbClr val="00B05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393700</xdr:colOff>
      <xdr:row>16</xdr:row>
      <xdr:rowOff>127000</xdr:rowOff>
    </xdr:from>
    <xdr:to>
      <xdr:col>7</xdr:col>
      <xdr:colOff>406400</xdr:colOff>
      <xdr:row>23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519E537-B656-7D77-1BD7-FE77EE5B8F27}"/>
            </a:ext>
          </a:extLst>
        </xdr:cNvPr>
        <xdr:cNvCxnSpPr/>
      </xdr:nvCxnSpPr>
      <xdr:spPr>
        <a:xfrm flipV="1">
          <a:off x="6032500" y="3378200"/>
          <a:ext cx="12700" cy="129540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25</xdr:row>
      <xdr:rowOff>165100</xdr:rowOff>
    </xdr:from>
    <xdr:to>
      <xdr:col>7</xdr:col>
      <xdr:colOff>393700</xdr:colOff>
      <xdr:row>32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923B340-D3D8-0A4F-8204-D339793BE22F}"/>
            </a:ext>
          </a:extLst>
        </xdr:cNvPr>
        <xdr:cNvCxnSpPr/>
      </xdr:nvCxnSpPr>
      <xdr:spPr>
        <a:xfrm flipV="1">
          <a:off x="6019800" y="5245100"/>
          <a:ext cx="12700" cy="129540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355600</xdr:colOff>
      <xdr:row>34</xdr:row>
      <xdr:rowOff>114300</xdr:rowOff>
    </xdr:from>
    <xdr:to>
      <xdr:col>7</xdr:col>
      <xdr:colOff>368300</xdr:colOff>
      <xdr:row>40</xdr:row>
      <xdr:rowOff>190500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F979FE0-2C8A-3D4F-83C5-59D38BEDD08B}"/>
            </a:ext>
          </a:extLst>
        </xdr:cNvPr>
        <xdr:cNvCxnSpPr/>
      </xdr:nvCxnSpPr>
      <xdr:spPr>
        <a:xfrm flipV="1">
          <a:off x="5994400" y="7023100"/>
          <a:ext cx="12700" cy="129540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355600</xdr:colOff>
      <xdr:row>43</xdr:row>
      <xdr:rowOff>177800</xdr:rowOff>
    </xdr:from>
    <xdr:to>
      <xdr:col>7</xdr:col>
      <xdr:colOff>355600</xdr:colOff>
      <xdr:row>53</xdr:row>
      <xdr:rowOff>139700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F419F10-72D0-E762-5839-79BA47F6D6D9}"/>
            </a:ext>
          </a:extLst>
        </xdr:cNvPr>
        <xdr:cNvCxnSpPr/>
      </xdr:nvCxnSpPr>
      <xdr:spPr>
        <a:xfrm>
          <a:off x="5994400" y="8915400"/>
          <a:ext cx="0" cy="1993900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57</xdr:row>
      <xdr:rowOff>12700</xdr:rowOff>
    </xdr:from>
    <xdr:to>
      <xdr:col>7</xdr:col>
      <xdr:colOff>342900</xdr:colOff>
      <xdr:row>66</xdr:row>
      <xdr:rowOff>177800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D1156E8-72AE-D44F-84F5-461D72A25B1D}"/>
            </a:ext>
          </a:extLst>
        </xdr:cNvPr>
        <xdr:cNvCxnSpPr/>
      </xdr:nvCxnSpPr>
      <xdr:spPr>
        <a:xfrm>
          <a:off x="5981700" y="11595100"/>
          <a:ext cx="0" cy="1993900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40</xdr:row>
      <xdr:rowOff>0</xdr:rowOff>
    </xdr:from>
    <xdr:to>
      <xdr:col>6</xdr:col>
      <xdr:colOff>19538</xdr:colOff>
      <xdr:row>54</xdr:row>
      <xdr:rowOff>96715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162E1D3-25B4-0341-BE51-B0BCE0FB6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28000"/>
          <a:ext cx="5048738" cy="2941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180212</xdr:rowOff>
    </xdr:from>
    <xdr:to>
      <xdr:col>6</xdr:col>
      <xdr:colOff>19539</xdr:colOff>
      <xdr:row>39</xdr:row>
      <xdr:rowOff>10226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7F90A-FB0A-AF45-A7AB-D570DC84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12"/>
          <a:ext cx="4972539" cy="77548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58616</xdr:rowOff>
    </xdr:from>
    <xdr:to>
      <xdr:col>6</xdr:col>
      <xdr:colOff>19538</xdr:colOff>
      <xdr:row>53</xdr:row>
      <xdr:rowOff>155331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DA64BB-3371-3F44-94BC-35FADEE01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83416"/>
          <a:ext cx="4972538" cy="2941515"/>
        </a:xfrm>
        <a:prstGeom prst="rect">
          <a:avLst/>
        </a:prstGeom>
      </xdr:spPr>
    </xdr:pic>
    <xdr:clientData/>
  </xdr:twoCellAnchor>
  <xdr:twoCellAnchor>
    <xdr:from>
      <xdr:col>7</xdr:col>
      <xdr:colOff>58616</xdr:colOff>
      <xdr:row>13</xdr:row>
      <xdr:rowOff>0</xdr:rowOff>
    </xdr:from>
    <xdr:to>
      <xdr:col>7</xdr:col>
      <xdr:colOff>63500</xdr:colOff>
      <xdr:row>15</xdr:row>
      <xdr:rowOff>156308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0855308-5F18-1748-B35F-24C427FB0451}"/>
            </a:ext>
          </a:extLst>
        </xdr:cNvPr>
        <xdr:cNvCxnSpPr/>
      </xdr:nvCxnSpPr>
      <xdr:spPr>
        <a:xfrm flipV="1">
          <a:off x="5697416" y="2641600"/>
          <a:ext cx="4884" cy="562708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18</xdr:row>
      <xdr:rowOff>0</xdr:rowOff>
    </xdr:from>
    <xdr:to>
      <xdr:col>7</xdr:col>
      <xdr:colOff>63500</xdr:colOff>
      <xdr:row>20</xdr:row>
      <xdr:rowOff>156308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8BC1E5D-BA40-6E4F-8504-8704C1008575}"/>
            </a:ext>
          </a:extLst>
        </xdr:cNvPr>
        <xdr:cNvCxnSpPr/>
      </xdr:nvCxnSpPr>
      <xdr:spPr>
        <a:xfrm flipV="1">
          <a:off x="5697416" y="3657600"/>
          <a:ext cx="4884" cy="562708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22</xdr:row>
      <xdr:rowOff>156308</xdr:rowOff>
    </xdr:from>
    <xdr:to>
      <xdr:col>7</xdr:col>
      <xdr:colOff>63500</xdr:colOff>
      <xdr:row>25</xdr:row>
      <xdr:rowOff>117232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CD1BB89-7479-C242-AAA2-355E924C637D}"/>
            </a:ext>
          </a:extLst>
        </xdr:cNvPr>
        <xdr:cNvCxnSpPr/>
      </xdr:nvCxnSpPr>
      <xdr:spPr>
        <a:xfrm flipV="1">
          <a:off x="5697416" y="4626708"/>
          <a:ext cx="4884" cy="570524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29</xdr:row>
      <xdr:rowOff>0</xdr:rowOff>
    </xdr:from>
    <xdr:to>
      <xdr:col>7</xdr:col>
      <xdr:colOff>39076</xdr:colOff>
      <xdr:row>31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5074CA9-0044-F346-9FB9-B5CAF4490BB5}"/>
            </a:ext>
          </a:extLst>
        </xdr:cNvPr>
        <xdr:cNvCxnSpPr/>
      </xdr:nvCxnSpPr>
      <xdr:spPr>
        <a:xfrm>
          <a:off x="5677876" y="5892800"/>
          <a:ext cx="0" cy="406400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33</xdr:row>
      <xdr:rowOff>0</xdr:rowOff>
    </xdr:from>
    <xdr:to>
      <xdr:col>7</xdr:col>
      <xdr:colOff>39076</xdr:colOff>
      <xdr:row>35</xdr:row>
      <xdr:rowOff>-1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DAAA533-376D-FF4A-8399-EA3261605D23}"/>
            </a:ext>
          </a:extLst>
        </xdr:cNvPr>
        <xdr:cNvCxnSpPr/>
      </xdr:nvCxnSpPr>
      <xdr:spPr>
        <a:xfrm>
          <a:off x="5677876" y="6705600"/>
          <a:ext cx="0" cy="406399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4884</xdr:colOff>
      <xdr:row>3</xdr:row>
      <xdr:rowOff>145520</xdr:rowOff>
    </xdr:from>
    <xdr:to>
      <xdr:col>23</xdr:col>
      <xdr:colOff>727604</xdr:colOff>
      <xdr:row>3</xdr:row>
      <xdr:rowOff>145520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CF6E835-1ED6-7B40-9B91-218C50E30036}"/>
            </a:ext>
          </a:extLst>
        </xdr:cNvPr>
        <xdr:cNvCxnSpPr/>
      </xdr:nvCxnSpPr>
      <xdr:spPr>
        <a:xfrm flipH="1">
          <a:off x="8550926" y="740833"/>
          <a:ext cx="7099178" cy="0"/>
        </a:xfrm>
        <a:prstGeom prst="straightConnector1">
          <a:avLst/>
        </a:prstGeom>
        <a:ln w="28575">
          <a:solidFill>
            <a:srgbClr val="FFC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395409</xdr:colOff>
      <xdr:row>10</xdr:row>
      <xdr:rowOff>139170</xdr:rowOff>
    </xdr:from>
    <xdr:to>
      <xdr:col>14</xdr:col>
      <xdr:colOff>806979</xdr:colOff>
      <xdr:row>10</xdr:row>
      <xdr:rowOff>139170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F5998EC-8023-2B41-94CA-60FA2CD2C770}"/>
            </a:ext>
          </a:extLst>
        </xdr:cNvPr>
        <xdr:cNvCxnSpPr/>
      </xdr:nvCxnSpPr>
      <xdr:spPr>
        <a:xfrm flipH="1" flipV="1">
          <a:off x="8491659" y="212354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132290</xdr:rowOff>
    </xdr:from>
    <xdr:to>
      <xdr:col>18</xdr:col>
      <xdr:colOff>41153</xdr:colOff>
      <xdr:row>10</xdr:row>
      <xdr:rowOff>132290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4FFF8F8-5D24-6A4D-896D-40C696650550}"/>
            </a:ext>
          </a:extLst>
        </xdr:cNvPr>
        <xdr:cNvCxnSpPr/>
      </xdr:nvCxnSpPr>
      <xdr:spPr>
        <a:xfrm flipH="1" flipV="1">
          <a:off x="10398125" y="211666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132290</xdr:rowOff>
    </xdr:from>
    <xdr:to>
      <xdr:col>21</xdr:col>
      <xdr:colOff>41153</xdr:colOff>
      <xdr:row>10</xdr:row>
      <xdr:rowOff>132290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552ADF-70E8-6441-B1BC-B288C2F64539}"/>
            </a:ext>
          </a:extLst>
        </xdr:cNvPr>
        <xdr:cNvCxnSpPr/>
      </xdr:nvCxnSpPr>
      <xdr:spPr>
        <a:xfrm flipH="1" flipV="1">
          <a:off x="12250208" y="211666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</xdr:row>
      <xdr:rowOff>132290</xdr:rowOff>
    </xdr:from>
    <xdr:to>
      <xdr:col>24</xdr:col>
      <xdr:colOff>41154</xdr:colOff>
      <xdr:row>10</xdr:row>
      <xdr:rowOff>132290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DA21951-F4C4-9C41-96D7-414020A61410}"/>
            </a:ext>
          </a:extLst>
        </xdr:cNvPr>
        <xdr:cNvCxnSpPr/>
      </xdr:nvCxnSpPr>
      <xdr:spPr>
        <a:xfrm flipH="1" flipV="1">
          <a:off x="14102292" y="211666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E908-E61C-7546-9F82-6ABA6D0639D8}">
  <dimension ref="E2:T34"/>
  <sheetViews>
    <sheetView showGridLines="0" workbookViewId="0">
      <selection activeCell="K27" sqref="K27"/>
    </sheetView>
  </sheetViews>
  <sheetFormatPr baseColWidth="10" defaultRowHeight="16" x14ac:dyDescent="0.2"/>
  <cols>
    <col min="7" max="8" width="9" customWidth="1"/>
    <col min="9" max="12" width="5.83203125" style="2" customWidth="1"/>
    <col min="13" max="13" width="5.83203125" customWidth="1"/>
    <col min="14" max="14" width="10.83203125" style="2"/>
    <col min="15" max="15" width="2.83203125" customWidth="1"/>
    <col min="16" max="16" width="10.83203125" style="2"/>
    <col min="17" max="17" width="2.83203125" customWidth="1"/>
    <col min="18" max="18" width="10.83203125" style="2"/>
    <col min="19" max="19" width="2.83203125" customWidth="1"/>
    <col min="20" max="20" width="10.83203125" style="2"/>
  </cols>
  <sheetData>
    <row r="2" spans="5:20" x14ac:dyDescent="0.2">
      <c r="N2" s="10" t="s">
        <v>8</v>
      </c>
    </row>
    <row r="3" spans="5:20" x14ac:dyDescent="0.2">
      <c r="H3" s="3" t="s">
        <v>0</v>
      </c>
      <c r="I3" s="2">
        <v>4</v>
      </c>
      <c r="J3" s="2" t="s">
        <v>23</v>
      </c>
      <c r="N3" s="10" t="s">
        <v>9</v>
      </c>
      <c r="P3" s="10" t="s">
        <v>10</v>
      </c>
      <c r="R3" s="10" t="s">
        <v>11</v>
      </c>
      <c r="T3" s="10" t="s">
        <v>12</v>
      </c>
    </row>
    <row r="4" spans="5:20" x14ac:dyDescent="0.2">
      <c r="E4" s="1"/>
      <c r="H4" s="3" t="s">
        <v>1</v>
      </c>
      <c r="I4" s="16">
        <v>1</v>
      </c>
      <c r="J4" s="16" t="s">
        <v>24</v>
      </c>
    </row>
    <row r="5" spans="5:20" x14ac:dyDescent="0.2">
      <c r="E5" s="1"/>
      <c r="H5" s="3" t="s">
        <v>2</v>
      </c>
      <c r="I5" s="15">
        <v>3</v>
      </c>
      <c r="J5" s="15" t="s">
        <v>25</v>
      </c>
      <c r="N5" s="9" t="s">
        <v>16</v>
      </c>
    </row>
    <row r="6" spans="5:20" x14ac:dyDescent="0.2">
      <c r="H6" s="3" t="s">
        <v>3</v>
      </c>
      <c r="I6" s="2">
        <v>4</v>
      </c>
      <c r="N6" s="10" t="s">
        <v>4</v>
      </c>
      <c r="P6" s="10" t="s">
        <v>5</v>
      </c>
      <c r="R6" s="10" t="s">
        <v>6</v>
      </c>
      <c r="T6" s="10" t="s">
        <v>7</v>
      </c>
    </row>
    <row r="7" spans="5:20" x14ac:dyDescent="0.2">
      <c r="N7" s="7">
        <v>2</v>
      </c>
      <c r="P7" s="7">
        <v>1</v>
      </c>
      <c r="R7" s="7">
        <v>1</v>
      </c>
      <c r="T7" s="7">
        <v>1</v>
      </c>
    </row>
    <row r="8" spans="5:20" x14ac:dyDescent="0.2">
      <c r="N8" s="7">
        <v>-1</v>
      </c>
      <c r="P8" s="7">
        <v>0</v>
      </c>
      <c r="R8" s="7">
        <v>1</v>
      </c>
      <c r="T8" s="7">
        <v>2</v>
      </c>
    </row>
    <row r="9" spans="5:20" x14ac:dyDescent="0.2">
      <c r="N9" s="7">
        <v>0</v>
      </c>
      <c r="P9" s="7">
        <v>1</v>
      </c>
      <c r="R9" s="7">
        <v>0</v>
      </c>
      <c r="T9" s="7">
        <v>-1</v>
      </c>
    </row>
    <row r="10" spans="5:20" x14ac:dyDescent="0.2">
      <c r="N10" s="7">
        <v>1</v>
      </c>
      <c r="P10" s="7">
        <v>0</v>
      </c>
      <c r="R10" s="7">
        <v>0</v>
      </c>
      <c r="T10" s="7">
        <v>2</v>
      </c>
    </row>
    <row r="12" spans="5:20" x14ac:dyDescent="0.2">
      <c r="N12" s="9" t="s">
        <v>26</v>
      </c>
    </row>
    <row r="13" spans="5:20" x14ac:dyDescent="0.2">
      <c r="I13" s="9" t="s">
        <v>20</v>
      </c>
      <c r="N13" s="10" t="s">
        <v>27</v>
      </c>
      <c r="P13" s="10" t="s">
        <v>28</v>
      </c>
      <c r="R13" s="10" t="s">
        <v>29</v>
      </c>
      <c r="T13" s="10" t="s">
        <v>30</v>
      </c>
    </row>
    <row r="14" spans="5:20" x14ac:dyDescent="0.2">
      <c r="I14" s="7">
        <v>1</v>
      </c>
      <c r="J14" s="7">
        <v>0</v>
      </c>
      <c r="K14" s="7">
        <v>-1</v>
      </c>
      <c r="L14" s="7">
        <v>1</v>
      </c>
      <c r="N14" s="8">
        <v>0</v>
      </c>
      <c r="P14" s="12">
        <f t="shared" ref="P14:P16" si="0">N24</f>
        <v>0.99932929973906692</v>
      </c>
      <c r="R14" s="12">
        <f>P24</f>
        <v>0.84480840963339454</v>
      </c>
      <c r="T14" s="12">
        <f>R24</f>
        <v>0.99332710896593535</v>
      </c>
    </row>
    <row r="15" spans="5:20" x14ac:dyDescent="0.2">
      <c r="I15" s="7">
        <v>0</v>
      </c>
      <c r="J15" s="7">
        <v>2</v>
      </c>
      <c r="K15" s="7">
        <v>1</v>
      </c>
      <c r="L15" s="7">
        <v>0</v>
      </c>
      <c r="N15" s="8">
        <v>0</v>
      </c>
      <c r="P15" s="12">
        <f t="shared" si="0"/>
        <v>-0.99505475368673058</v>
      </c>
      <c r="R15" s="12">
        <f>P25</f>
        <v>-0.94212754684389821</v>
      </c>
      <c r="T15" s="12">
        <f>R25</f>
        <v>6.273516198820607E-2</v>
      </c>
    </row>
    <row r="16" spans="5:20" x14ac:dyDescent="0.2">
      <c r="I16" s="7">
        <v>1</v>
      </c>
      <c r="J16" s="7">
        <v>2</v>
      </c>
      <c r="K16" s="7">
        <v>1</v>
      </c>
      <c r="L16" s="7">
        <v>0</v>
      </c>
      <c r="N16" s="8">
        <v>0</v>
      </c>
      <c r="P16" s="12">
        <f t="shared" si="0"/>
        <v>-0.76159415595576485</v>
      </c>
      <c r="R16" s="12">
        <f>P26</f>
        <v>4.945206000904266E-3</v>
      </c>
      <c r="T16" s="12">
        <f>R26</f>
        <v>0.78484821598210719</v>
      </c>
    </row>
    <row r="18" spans="9:20" x14ac:dyDescent="0.2">
      <c r="I18" s="9" t="s">
        <v>19</v>
      </c>
      <c r="N18" s="9" t="s">
        <v>14</v>
      </c>
    </row>
    <row r="19" spans="9:20" x14ac:dyDescent="0.2">
      <c r="I19" s="8">
        <v>1</v>
      </c>
      <c r="J19" s="8">
        <v>0</v>
      </c>
      <c r="K19" s="8">
        <v>1</v>
      </c>
      <c r="N19" s="4" cm="1">
        <f t="array" ref="N19:N21">MMULT($I$14:$L$16,N7:N10)+MMULT($I$19:$K$21,N14:N16)+MMULT($I$24:$I$26,1)</f>
        <v>4</v>
      </c>
      <c r="P19" s="14" cm="1">
        <f t="array" ref="P19:P21">MMULT($I$14:$L$16,P7:P10)+MMULT($I$19:$K$21,P14:P16)+MMULT($I$24:$I$26,1)</f>
        <v>1.237735143783302</v>
      </c>
      <c r="R19" s="14" cm="1">
        <f t="array" ref="R19:R21">MMULT($I$14:$L$16,R7:R10)+MMULT($I$19:$K$21,R14:R16)+MMULT($I$24:$I$26,1)</f>
        <v>2.8497536156342989</v>
      </c>
      <c r="T19" s="14" cm="1">
        <f t="array" ref="T19:T21">MMULT($I$14:$L$16,T7:T10)+MMULT($I$19:$K$21,T14:T16)+MMULT($I$24:$I$26,1)</f>
        <v>6.7781753249480428</v>
      </c>
    </row>
    <row r="20" spans="9:20" x14ac:dyDescent="0.2">
      <c r="I20" s="8">
        <v>0</v>
      </c>
      <c r="J20" s="8">
        <v>1</v>
      </c>
      <c r="K20" s="8">
        <v>1</v>
      </c>
      <c r="N20" s="4">
        <v>-3</v>
      </c>
      <c r="P20" s="14">
        <v>-1.7566489096424953</v>
      </c>
      <c r="R20" s="14">
        <v>6.2817659157006212E-2</v>
      </c>
      <c r="T20" s="14">
        <v>2.847583377970313</v>
      </c>
    </row>
    <row r="21" spans="9:20" x14ac:dyDescent="0.2">
      <c r="I21" s="8">
        <v>0</v>
      </c>
      <c r="J21" s="8">
        <v>1</v>
      </c>
      <c r="K21" s="8">
        <v>0</v>
      </c>
      <c r="N21" s="4">
        <v>-1</v>
      </c>
      <c r="P21" s="14">
        <v>4.9452463132695357E-3</v>
      </c>
      <c r="R21" s="14">
        <v>1.0578724531561017</v>
      </c>
      <c r="T21" s="14">
        <v>3.0627351619882059</v>
      </c>
    </row>
    <row r="23" spans="9:20" x14ac:dyDescent="0.2">
      <c r="I23" s="9" t="s">
        <v>18</v>
      </c>
      <c r="N23" s="9" t="s">
        <v>15</v>
      </c>
    </row>
    <row r="24" spans="9:20" x14ac:dyDescent="0.2">
      <c r="I24" s="4">
        <v>1</v>
      </c>
      <c r="N24" s="13">
        <f t="shared" ref="N24:T26" si="1">TANH(N19)</f>
        <v>0.99932929973906692</v>
      </c>
      <c r="P24" s="13">
        <f t="shared" si="1"/>
        <v>0.84480840963339454</v>
      </c>
      <c r="R24" s="13">
        <f t="shared" si="1"/>
        <v>0.99332710896593535</v>
      </c>
      <c r="T24" s="13">
        <f t="shared" si="1"/>
        <v>0.99999740832135109</v>
      </c>
    </row>
    <row r="25" spans="9:20" x14ac:dyDescent="0.2">
      <c r="I25" s="4">
        <v>-1</v>
      </c>
      <c r="N25" s="13">
        <f t="shared" si="1"/>
        <v>-0.99505475368673058</v>
      </c>
      <c r="P25" s="13">
        <f t="shared" si="1"/>
        <v>-0.94212754684389821</v>
      </c>
      <c r="R25" s="13">
        <f t="shared" si="1"/>
        <v>6.273516198820607E-2</v>
      </c>
      <c r="T25" s="13">
        <f t="shared" si="1"/>
        <v>0.99329817976335721</v>
      </c>
    </row>
    <row r="26" spans="9:20" x14ac:dyDescent="0.2">
      <c r="I26" s="4">
        <v>-1</v>
      </c>
      <c r="N26" s="13">
        <f t="shared" si="1"/>
        <v>-0.76159415595576485</v>
      </c>
      <c r="P26" s="13">
        <f t="shared" si="1"/>
        <v>4.945206000904266E-3</v>
      </c>
      <c r="R26" s="13">
        <f t="shared" si="1"/>
        <v>0.78484821598210719</v>
      </c>
      <c r="T26" s="13">
        <f t="shared" si="1"/>
        <v>0.99563661531598702</v>
      </c>
    </row>
    <row r="29" spans="9:20" x14ac:dyDescent="0.2">
      <c r="I29" s="9" t="s">
        <v>21</v>
      </c>
      <c r="N29" s="9" t="s">
        <v>17</v>
      </c>
    </row>
    <row r="30" spans="9:20" x14ac:dyDescent="0.2">
      <c r="I30" s="11">
        <v>3</v>
      </c>
      <c r="J30" s="11">
        <v>0</v>
      </c>
      <c r="K30" s="11">
        <v>-1</v>
      </c>
      <c r="N30" s="5" cm="1">
        <f t="array" ref="N30">MMULT($I$30:$K$30,N24:N26)+MMULT($I$34,1)</f>
        <v>6.7595820551729657</v>
      </c>
      <c r="P30" s="5" cm="1">
        <f t="array" ref="P30">MMULT($I$30:$K$30,P24:P26)+MMULT($I$34,1)</f>
        <v>5.5294800228992802</v>
      </c>
      <c r="R30" s="5" cm="1">
        <f t="array" ref="R30">MMULT($I$30:$K$30,R24:R26)+MMULT($I$34,1)</f>
        <v>5.1951331109156991</v>
      </c>
      <c r="T30" s="5" cm="1">
        <f t="array" ref="T30">MMULT($I$30:$K$30,T24:T26)+MMULT($I$34,1)</f>
        <v>5.0043556096480666</v>
      </c>
    </row>
    <row r="33" spans="9:20" x14ac:dyDescent="0.2">
      <c r="I33" s="9" t="s">
        <v>22</v>
      </c>
      <c r="N33" s="10" t="s">
        <v>13</v>
      </c>
    </row>
    <row r="34" spans="9:20" x14ac:dyDescent="0.2">
      <c r="I34" s="4">
        <v>3</v>
      </c>
      <c r="N34" s="6">
        <f>1/(1+EXP(-N30))</f>
        <v>0.99884162960909084</v>
      </c>
      <c r="P34" s="6">
        <f t="shared" ref="P34:T34" si="2">1/(1+EXP(-P30))</f>
        <v>0.99604763135486318</v>
      </c>
      <c r="R34" s="6">
        <f t="shared" si="2"/>
        <v>0.99448708237122485</v>
      </c>
      <c r="T34" s="6">
        <f t="shared" si="2"/>
        <v>0.99333604328616831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638B-5B97-E749-B1BC-94346F891781}">
  <dimension ref="E2:AB80"/>
  <sheetViews>
    <sheetView showGridLines="0" zoomScale="91" workbookViewId="0">
      <selection activeCell="Q31" sqref="Q31"/>
    </sheetView>
  </sheetViews>
  <sheetFormatPr baseColWidth="10" defaultRowHeight="16" x14ac:dyDescent="0.2"/>
  <cols>
    <col min="7" max="8" width="9" customWidth="1"/>
    <col min="9" max="16" width="5.83203125" style="2" customWidth="1"/>
    <col min="17" max="17" width="5.83203125" customWidth="1"/>
    <col min="18" max="18" width="10.83203125" style="2"/>
    <col min="19" max="19" width="3" customWidth="1"/>
    <col min="20" max="20" width="10.83203125" style="2"/>
    <col min="21" max="21" width="3" customWidth="1"/>
    <col min="22" max="22" width="10.83203125" style="2"/>
    <col min="23" max="23" width="3" customWidth="1"/>
    <col min="24" max="24" width="10.83203125" style="2"/>
    <col min="25" max="25" width="3" customWidth="1"/>
    <col min="27" max="27" width="3" customWidth="1"/>
  </cols>
  <sheetData>
    <row r="2" spans="5:28" x14ac:dyDescent="0.2">
      <c r="R2" s="10" t="s">
        <v>8</v>
      </c>
    </row>
    <row r="3" spans="5:28" x14ac:dyDescent="0.2">
      <c r="H3" s="3" t="s">
        <v>0</v>
      </c>
      <c r="I3" s="2">
        <v>8</v>
      </c>
      <c r="J3" s="2" t="s">
        <v>23</v>
      </c>
      <c r="R3" s="10" t="s">
        <v>9</v>
      </c>
      <c r="T3" s="10" t="s">
        <v>10</v>
      </c>
      <c r="V3" s="10" t="s">
        <v>11</v>
      </c>
      <c r="X3" s="10" t="s">
        <v>12</v>
      </c>
      <c r="Z3" s="10" t="s">
        <v>31</v>
      </c>
      <c r="AB3" s="10" t="s">
        <v>32</v>
      </c>
    </row>
    <row r="4" spans="5:28" x14ac:dyDescent="0.2">
      <c r="E4" s="1"/>
      <c r="H4" s="3" t="s">
        <v>1</v>
      </c>
      <c r="I4" s="16">
        <v>10</v>
      </c>
      <c r="J4" s="16" t="s">
        <v>24</v>
      </c>
    </row>
    <row r="5" spans="5:28" x14ac:dyDescent="0.2">
      <c r="E5" s="1"/>
      <c r="H5" s="3" t="s">
        <v>2</v>
      </c>
      <c r="I5" s="15">
        <v>6</v>
      </c>
      <c r="J5" s="15" t="s">
        <v>25</v>
      </c>
      <c r="R5" s="9" t="s">
        <v>16</v>
      </c>
    </row>
    <row r="6" spans="5:28" x14ac:dyDescent="0.2">
      <c r="H6" s="3" t="s">
        <v>3</v>
      </c>
      <c r="I6" s="2">
        <v>6</v>
      </c>
      <c r="R6" s="10" t="s">
        <v>4</v>
      </c>
      <c r="T6" s="10" t="s">
        <v>5</v>
      </c>
      <c r="V6" s="10" t="s">
        <v>6</v>
      </c>
      <c r="X6" s="10" t="s">
        <v>7</v>
      </c>
      <c r="Z6" s="10" t="s">
        <v>33</v>
      </c>
      <c r="AB6" s="10" t="s">
        <v>34</v>
      </c>
    </row>
    <row r="7" spans="5:28" x14ac:dyDescent="0.2">
      <c r="R7" s="7">
        <v>2</v>
      </c>
      <c r="T7" s="7">
        <v>1</v>
      </c>
      <c r="V7" s="7">
        <v>1</v>
      </c>
      <c r="X7" s="7">
        <v>1</v>
      </c>
      <c r="Z7" s="7">
        <v>1</v>
      </c>
      <c r="AB7" s="7">
        <v>1</v>
      </c>
    </row>
    <row r="8" spans="5:28" x14ac:dyDescent="0.2">
      <c r="R8" s="7">
        <v>-1</v>
      </c>
      <c r="T8" s="7">
        <v>0</v>
      </c>
      <c r="V8" s="7">
        <v>1</v>
      </c>
      <c r="X8" s="7">
        <v>2</v>
      </c>
      <c r="Z8" s="7">
        <v>2</v>
      </c>
      <c r="AB8" s="7">
        <v>0</v>
      </c>
    </row>
    <row r="9" spans="5:28" x14ac:dyDescent="0.2">
      <c r="R9" s="7">
        <v>0</v>
      </c>
      <c r="T9" s="7">
        <v>1</v>
      </c>
      <c r="V9" s="7">
        <v>0</v>
      </c>
      <c r="X9" s="7">
        <v>-1</v>
      </c>
      <c r="Z9" s="7">
        <v>2</v>
      </c>
      <c r="AB9" s="7">
        <v>1</v>
      </c>
    </row>
    <row r="10" spans="5:28" x14ac:dyDescent="0.2">
      <c r="R10" s="7">
        <v>0</v>
      </c>
      <c r="T10" s="7">
        <v>1</v>
      </c>
      <c r="V10" s="7">
        <v>0</v>
      </c>
      <c r="X10" s="7">
        <v>-1</v>
      </c>
      <c r="Z10" s="7">
        <v>0</v>
      </c>
      <c r="AB10" s="7">
        <v>2</v>
      </c>
    </row>
    <row r="11" spans="5:28" x14ac:dyDescent="0.2">
      <c r="R11" s="7">
        <v>0</v>
      </c>
      <c r="T11" s="7">
        <v>1</v>
      </c>
      <c r="V11" s="7">
        <v>0</v>
      </c>
      <c r="X11" s="7">
        <v>-1</v>
      </c>
      <c r="Z11" s="7">
        <v>0</v>
      </c>
      <c r="AB11" s="7">
        <v>0</v>
      </c>
    </row>
    <row r="12" spans="5:28" x14ac:dyDescent="0.2">
      <c r="R12" s="7">
        <v>0</v>
      </c>
      <c r="T12" s="7">
        <v>1</v>
      </c>
      <c r="V12" s="7">
        <v>0</v>
      </c>
      <c r="X12" s="7">
        <v>-1</v>
      </c>
      <c r="Z12" s="7">
        <v>0</v>
      </c>
      <c r="AB12" s="7">
        <v>1</v>
      </c>
    </row>
    <row r="13" spans="5:28" x14ac:dyDescent="0.2">
      <c r="R13" s="7">
        <v>0</v>
      </c>
      <c r="T13" s="7">
        <v>1</v>
      </c>
      <c r="V13" s="7">
        <v>0</v>
      </c>
      <c r="X13" s="7">
        <v>-1</v>
      </c>
      <c r="Z13" s="7">
        <v>1</v>
      </c>
      <c r="AB13" s="7">
        <v>0</v>
      </c>
    </row>
    <row r="14" spans="5:28" x14ac:dyDescent="0.2">
      <c r="R14" s="7">
        <v>1</v>
      </c>
      <c r="T14" s="7">
        <v>0</v>
      </c>
      <c r="V14" s="7">
        <v>0</v>
      </c>
      <c r="X14" s="7">
        <v>2</v>
      </c>
      <c r="Z14" s="7">
        <v>0</v>
      </c>
      <c r="AB14" s="7">
        <v>1</v>
      </c>
    </row>
    <row r="16" spans="5:28" x14ac:dyDescent="0.2">
      <c r="R16" s="9" t="s">
        <v>26</v>
      </c>
    </row>
    <row r="17" spans="9:28" x14ac:dyDescent="0.2">
      <c r="I17" s="9" t="s">
        <v>20</v>
      </c>
      <c r="R17" s="10" t="s">
        <v>27</v>
      </c>
      <c r="T17" s="10" t="s">
        <v>28</v>
      </c>
      <c r="V17" s="10" t="s">
        <v>29</v>
      </c>
      <c r="X17" s="10" t="s">
        <v>30</v>
      </c>
      <c r="Z17" s="10" t="s">
        <v>35</v>
      </c>
      <c r="AB17" s="10" t="s">
        <v>36</v>
      </c>
    </row>
    <row r="18" spans="9:28" x14ac:dyDescent="0.2"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1</v>
      </c>
      <c r="R18" s="8">
        <v>0</v>
      </c>
      <c r="T18" s="12">
        <f>R36</f>
        <v>0.99932929973906692</v>
      </c>
      <c r="V18" s="12">
        <f t="shared" ref="V18" si="0">T36</f>
        <v>0.99927735073811652</v>
      </c>
      <c r="X18" s="12">
        <f>V36</f>
        <v>0.99815815900919547</v>
      </c>
      <c r="Z18" s="12">
        <f>X36</f>
        <v>0.99999994653002799</v>
      </c>
      <c r="AB18" s="12">
        <f>Z36</f>
        <v>0.99936272232463363</v>
      </c>
    </row>
    <row r="19" spans="9:28" x14ac:dyDescent="0.2">
      <c r="I19" s="7">
        <v>0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0</v>
      </c>
      <c r="P19" s="7">
        <v>0</v>
      </c>
      <c r="R19" s="8">
        <v>0</v>
      </c>
      <c r="T19" s="12">
        <f t="shared" ref="T19:T23" si="1">R37</f>
        <v>-0.76159415595576485</v>
      </c>
      <c r="V19" s="12">
        <f>T37</f>
        <v>0.99990243158805026</v>
      </c>
      <c r="X19" s="12">
        <f>V37</f>
        <v>4.9755932948084801E-3</v>
      </c>
      <c r="Z19" s="12">
        <f>X37</f>
        <v>-0.94681701559291809</v>
      </c>
      <c r="AB19" s="12">
        <f>Z37</f>
        <v>0.99989932710479446</v>
      </c>
    </row>
    <row r="20" spans="9:28" x14ac:dyDescent="0.2"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R20" s="8">
        <v>0</v>
      </c>
      <c r="T20" s="12">
        <f t="shared" si="1"/>
        <v>0.76159415595576485</v>
      </c>
      <c r="V20" s="12">
        <f>T38</f>
        <v>0.99883923596754132</v>
      </c>
      <c r="X20" s="12">
        <f>V38</f>
        <v>0.99507991252818306</v>
      </c>
      <c r="Z20" s="12">
        <f>X38</f>
        <v>0.97550374173012133</v>
      </c>
      <c r="AB20" s="12">
        <f>Z38</f>
        <v>0.99926256554001103</v>
      </c>
    </row>
    <row r="21" spans="9:28" x14ac:dyDescent="0.2">
      <c r="I21" s="7">
        <v>1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0</v>
      </c>
      <c r="P21" s="7">
        <v>0</v>
      </c>
      <c r="R21" s="8">
        <v>0</v>
      </c>
      <c r="T21" s="12">
        <f t="shared" si="1"/>
        <v>0.99932929973906692</v>
      </c>
      <c r="V21" s="12">
        <f>T39</f>
        <v>-0.50834989944641529</v>
      </c>
      <c r="X21" s="12">
        <f>V39</f>
        <v>0.75654273933495453</v>
      </c>
      <c r="Z21" s="12">
        <f>X39</f>
        <v>0.99997861293651025</v>
      </c>
      <c r="AB21" s="12">
        <f>Z39</f>
        <v>-0.73765305319017993</v>
      </c>
    </row>
    <row r="22" spans="9:28" x14ac:dyDescent="0.2">
      <c r="I22" s="7">
        <v>0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0</v>
      </c>
      <c r="R22" s="8">
        <v>0</v>
      </c>
      <c r="T22" s="12">
        <f t="shared" si="1"/>
        <v>-0.76159415595576485</v>
      </c>
      <c r="V22" s="12">
        <f>T40</f>
        <v>0.99993943236914828</v>
      </c>
      <c r="X22" s="12">
        <f>V40</f>
        <v>-0.7590206427231786</v>
      </c>
      <c r="Z22" s="12">
        <f>X40</f>
        <v>-0.99535311804591431</v>
      </c>
      <c r="AB22" s="12">
        <f>Z40</f>
        <v>0.99991300777743042</v>
      </c>
    </row>
    <row r="23" spans="9:28" x14ac:dyDescent="0.2">
      <c r="I23" s="7">
        <v>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0</v>
      </c>
      <c r="P23" s="7">
        <v>0</v>
      </c>
      <c r="R23" s="8">
        <v>0</v>
      </c>
      <c r="T23" s="12">
        <f t="shared" si="1"/>
        <v>0.96402758007581701</v>
      </c>
      <c r="V23" s="12">
        <f>T41</f>
        <v>-0.99506136642620702</v>
      </c>
      <c r="X23" s="12">
        <f>V41</f>
        <v>0.96388997852092517</v>
      </c>
      <c r="Z23" s="12">
        <f>X41</f>
        <v>0.99690150300965796</v>
      </c>
      <c r="AB23" s="12">
        <f>Z41</f>
        <v>-0.99524677109355042</v>
      </c>
    </row>
    <row r="26" spans="9:28" x14ac:dyDescent="0.2">
      <c r="I26" s="9" t="s">
        <v>19</v>
      </c>
      <c r="R26" s="9" t="s">
        <v>14</v>
      </c>
    </row>
    <row r="27" spans="9:28" x14ac:dyDescent="0.2">
      <c r="I27" s="8">
        <v>1</v>
      </c>
      <c r="J27" s="8">
        <v>1</v>
      </c>
      <c r="K27" s="8">
        <v>1</v>
      </c>
      <c r="L27" s="8">
        <v>1</v>
      </c>
      <c r="M27" s="8">
        <v>0</v>
      </c>
      <c r="N27" s="8">
        <v>1</v>
      </c>
      <c r="R27" s="5" cm="1">
        <f t="array" ref="R27:R32">MMULT($I$18:$P$23,R7:R14)+MMULT($I$27:$N$32,R18:R23)+MMULT($I$36:$I$41,1)</f>
        <v>4</v>
      </c>
      <c r="T27" s="5" cm="1">
        <f t="array" ref="T27:T32">MMULT($I$18:$P$23,T7:T14)+MMULT($I$27:$N$32,T18:T23)+MMULT($I$36:$I$41,1)</f>
        <v>3.962686179553951</v>
      </c>
      <c r="V27" s="5" cm="1">
        <f t="array" ref="V27:V32">MMULT($I$18:$P$23,V7:V14)+MMULT($I$27:$N$32,V18:V23)+MMULT($I$36:$I$41,1)</f>
        <v>3.4946077524210861</v>
      </c>
      <c r="X27" s="5" cm="1">
        <f t="array" ref="X27:X32">MMULT($I$18:$P$23,X7:X14)+MMULT($I$27:$N$32,X18:X23)+MMULT($I$36:$I$41,1)</f>
        <v>8.7186463826880676</v>
      </c>
      <c r="Z27" s="5" cm="1">
        <f t="array" ref="Z27:Z32">MMULT($I$18:$P$23,Z7:Z14)+MMULT($I$27:$N$32,Z18:Z23)+MMULT($I$36:$I$41,1)</f>
        <v>4.0255667886133999</v>
      </c>
      <c r="AB27" s="5" cm="1">
        <f t="array" ref="AB27:AB32">MMULT($I$18:$P$23,AB7:AB14)+MMULT($I$27:$N$32,AB18:AB23)+MMULT($I$36:$I$41,1)</f>
        <v>4.2656247906857088</v>
      </c>
    </row>
    <row r="28" spans="9:28" x14ac:dyDescent="0.2">
      <c r="I28" s="8">
        <v>0</v>
      </c>
      <c r="J28" s="8">
        <v>-1</v>
      </c>
      <c r="K28" s="8">
        <v>0</v>
      </c>
      <c r="L28" s="8">
        <v>0</v>
      </c>
      <c r="M28" s="8">
        <v>1</v>
      </c>
      <c r="N28" s="8">
        <v>1</v>
      </c>
      <c r="O28"/>
      <c r="R28" s="5">
        <v>-1</v>
      </c>
      <c r="T28" s="5">
        <v>4.9640275800758173</v>
      </c>
      <c r="V28" s="5">
        <v>4.975634354891012E-3</v>
      </c>
      <c r="X28" s="5">
        <v>-1.8001062574970619</v>
      </c>
      <c r="Z28" s="5">
        <v>4.9483654005566615</v>
      </c>
      <c r="AB28" s="5">
        <v>3.0047669095790854</v>
      </c>
    </row>
    <row r="29" spans="9:28" x14ac:dyDescent="0.2">
      <c r="I29" s="8">
        <v>0</v>
      </c>
      <c r="J29" s="8">
        <v>0</v>
      </c>
      <c r="K29" s="8">
        <v>2</v>
      </c>
      <c r="L29" s="8">
        <v>0</v>
      </c>
      <c r="M29" s="8">
        <v>1</v>
      </c>
      <c r="N29" s="8">
        <v>1</v>
      </c>
      <c r="O29"/>
      <c r="R29" s="5">
        <v>1</v>
      </c>
      <c r="T29" s="5">
        <v>3.7256217360315818</v>
      </c>
      <c r="V29" s="5">
        <v>3.0025565378780241</v>
      </c>
      <c r="X29" s="5">
        <v>2.1950291608541126</v>
      </c>
      <c r="Z29" s="5">
        <v>3.9525558684239863</v>
      </c>
      <c r="AB29" s="5">
        <v>3.0031913677639022</v>
      </c>
    </row>
    <row r="30" spans="9:28" x14ac:dyDescent="0.2">
      <c r="I30" s="8">
        <v>0</v>
      </c>
      <c r="J30" s="8">
        <v>1</v>
      </c>
      <c r="K30" s="8">
        <v>0</v>
      </c>
      <c r="L30" s="8">
        <v>2</v>
      </c>
      <c r="M30" s="8">
        <v>1</v>
      </c>
      <c r="N30" s="8">
        <v>1</v>
      </c>
      <c r="O30"/>
      <c r="R30" s="5">
        <v>4</v>
      </c>
      <c r="T30" s="5">
        <v>-0.56050213235757873</v>
      </c>
      <c r="V30" s="5">
        <v>0.98808069863816095</v>
      </c>
      <c r="X30" s="5">
        <v>5.7229304077624636</v>
      </c>
      <c r="Z30" s="5">
        <v>-0.94531140475615394</v>
      </c>
      <c r="AB30" s="5">
        <v>-2.4707405425916855</v>
      </c>
    </row>
    <row r="31" spans="9:28" x14ac:dyDescent="0.2">
      <c r="I31" s="8">
        <v>0</v>
      </c>
      <c r="J31" s="8">
        <v>0</v>
      </c>
      <c r="K31" s="8">
        <v>-1</v>
      </c>
      <c r="L31" s="8">
        <v>0</v>
      </c>
      <c r="M31" s="8">
        <v>0</v>
      </c>
      <c r="N31" s="8">
        <v>1</v>
      </c>
      <c r="O31"/>
      <c r="R31" s="5">
        <v>-1</v>
      </c>
      <c r="T31" s="5">
        <v>5.2024334241200521</v>
      </c>
      <c r="V31" s="5">
        <v>-0.99390060239374822</v>
      </c>
      <c r="X31" s="5">
        <v>-3.0311899340072577</v>
      </c>
      <c r="Z31" s="5">
        <v>5.0213977612795366</v>
      </c>
      <c r="AB31" s="5">
        <v>2.0054906633664387</v>
      </c>
    </row>
    <row r="32" spans="9:28" x14ac:dyDescent="0.2">
      <c r="I32" s="8">
        <v>1</v>
      </c>
      <c r="J32" s="8">
        <v>0</v>
      </c>
      <c r="K32" s="8">
        <v>1</v>
      </c>
      <c r="L32" s="8">
        <v>0</v>
      </c>
      <c r="M32" s="8">
        <v>1</v>
      </c>
      <c r="N32" s="8">
        <v>0</v>
      </c>
      <c r="R32" s="5">
        <v>2</v>
      </c>
      <c r="T32" s="5">
        <v>-3.0006707002609332</v>
      </c>
      <c r="V32" s="5">
        <v>1.9980560190748062</v>
      </c>
      <c r="X32" s="5">
        <v>3.2342174288141994</v>
      </c>
      <c r="Z32" s="5">
        <v>-3.019849429785765</v>
      </c>
      <c r="AB32" s="5">
        <v>-1.0014617043579248</v>
      </c>
    </row>
    <row r="35" spans="9:28" x14ac:dyDescent="0.2">
      <c r="I35" s="9" t="s">
        <v>18</v>
      </c>
      <c r="R35" s="9" t="s">
        <v>15</v>
      </c>
    </row>
    <row r="36" spans="9:28" x14ac:dyDescent="0.2">
      <c r="I36" s="4">
        <v>1</v>
      </c>
      <c r="R36" s="13">
        <f t="shared" ref="R36:X38" si="2">TANH(R27)</f>
        <v>0.99932929973906692</v>
      </c>
      <c r="T36" s="13">
        <f t="shared" si="2"/>
        <v>0.99927735073811652</v>
      </c>
      <c r="V36" s="13">
        <f t="shared" si="2"/>
        <v>0.99815815900919547</v>
      </c>
      <c r="X36" s="13">
        <f t="shared" si="2"/>
        <v>0.99999994653002799</v>
      </c>
      <c r="Z36" s="13">
        <f t="shared" ref="Z36:AB36" si="3">TANH(Z27)</f>
        <v>0.99936272232463363</v>
      </c>
      <c r="AB36" s="13">
        <f t="shared" si="3"/>
        <v>0.99960566099102655</v>
      </c>
    </row>
    <row r="37" spans="9:28" x14ac:dyDescent="0.2">
      <c r="I37" s="4">
        <v>0</v>
      </c>
      <c r="R37" s="13">
        <f t="shared" si="2"/>
        <v>-0.76159415595576485</v>
      </c>
      <c r="T37" s="13">
        <f t="shared" si="2"/>
        <v>0.99990243158805026</v>
      </c>
      <c r="V37" s="13">
        <f t="shared" si="2"/>
        <v>4.9755932948084801E-3</v>
      </c>
      <c r="X37" s="13">
        <f t="shared" si="2"/>
        <v>-0.94681701559291809</v>
      </c>
      <c r="Z37" s="13">
        <f t="shared" ref="Z37:AB37" si="4">TANH(Z28)</f>
        <v>0.99989932710479446</v>
      </c>
      <c r="AB37" s="13">
        <f t="shared" si="4"/>
        <v>0.99510156181258513</v>
      </c>
    </row>
    <row r="38" spans="9:28" x14ac:dyDescent="0.2">
      <c r="I38" s="4">
        <v>1</v>
      </c>
      <c r="R38" s="13">
        <f t="shared" si="2"/>
        <v>0.76159415595576485</v>
      </c>
      <c r="T38" s="13">
        <f t="shared" si="2"/>
        <v>0.99883923596754132</v>
      </c>
      <c r="V38" s="13">
        <f t="shared" si="2"/>
        <v>0.99507991252818306</v>
      </c>
      <c r="X38" s="13">
        <f t="shared" si="2"/>
        <v>0.97550374173012133</v>
      </c>
      <c r="Z38" s="13">
        <f t="shared" ref="Z38:AB38" si="5">TANH(Z29)</f>
        <v>0.99926256554001103</v>
      </c>
      <c r="AB38" s="13">
        <f t="shared" si="5"/>
        <v>0.99508614006301643</v>
      </c>
    </row>
    <row r="39" spans="9:28" x14ac:dyDescent="0.2">
      <c r="I39" s="4">
        <v>1</v>
      </c>
      <c r="R39" s="13">
        <f t="shared" ref="R39:X39" si="6">TANH(R30)</f>
        <v>0.99932929973906692</v>
      </c>
      <c r="T39" s="13">
        <f t="shared" si="6"/>
        <v>-0.50834989944641529</v>
      </c>
      <c r="V39" s="13">
        <f t="shared" si="6"/>
        <v>0.75654273933495453</v>
      </c>
      <c r="X39" s="13">
        <f t="shared" si="6"/>
        <v>0.99997861293651025</v>
      </c>
      <c r="Z39" s="13">
        <f t="shared" ref="Z39:AB39" si="7">TANH(Z30)</f>
        <v>-0.73765305319017993</v>
      </c>
      <c r="AB39" s="13">
        <f t="shared" si="7"/>
        <v>-0.98581333041235719</v>
      </c>
    </row>
    <row r="40" spans="9:28" x14ac:dyDescent="0.2">
      <c r="I40" s="4">
        <v>0</v>
      </c>
      <c r="R40" s="13">
        <f t="shared" ref="R40:X40" si="8">TANH(R31)</f>
        <v>-0.76159415595576485</v>
      </c>
      <c r="T40" s="13">
        <f t="shared" si="8"/>
        <v>0.99993943236914828</v>
      </c>
      <c r="V40" s="13">
        <f t="shared" si="8"/>
        <v>-0.7590206427231786</v>
      </c>
      <c r="X40" s="13">
        <f t="shared" si="8"/>
        <v>-0.99535311804591431</v>
      </c>
      <c r="Z40" s="13">
        <f t="shared" ref="Z40:AB40" si="9">TANH(Z31)</f>
        <v>0.99991300777743042</v>
      </c>
      <c r="AB40" s="13">
        <f t="shared" si="9"/>
        <v>0.9644134536071256</v>
      </c>
    </row>
    <row r="41" spans="9:28" x14ac:dyDescent="0.2">
      <c r="I41" s="4">
        <v>-1</v>
      </c>
      <c r="R41" s="13">
        <f t="shared" ref="R41:X41" si="10">TANH(R32)</f>
        <v>0.96402758007581701</v>
      </c>
      <c r="T41" s="13">
        <f t="shared" si="10"/>
        <v>-0.99506136642620702</v>
      </c>
      <c r="V41" s="13">
        <f t="shared" si="10"/>
        <v>0.96388997852092517</v>
      </c>
      <c r="X41" s="13">
        <f t="shared" si="10"/>
        <v>0.99690150300965796</v>
      </c>
      <c r="Z41" s="13">
        <f t="shared" ref="Z41:AB41" si="11">TANH(Z32)</f>
        <v>-0.99524677109355042</v>
      </c>
      <c r="AB41" s="13">
        <f t="shared" si="11"/>
        <v>-0.76220735121980276</v>
      </c>
    </row>
    <row r="44" spans="9:28" x14ac:dyDescent="0.2">
      <c r="I44" s="9" t="s">
        <v>21</v>
      </c>
      <c r="R44" s="9" t="s">
        <v>17</v>
      </c>
    </row>
    <row r="45" spans="9:28" x14ac:dyDescent="0.2">
      <c r="I45" s="11">
        <v>3</v>
      </c>
      <c r="J45" s="11">
        <v>0</v>
      </c>
      <c r="K45" s="11">
        <v>0</v>
      </c>
      <c r="L45" s="11">
        <v>0</v>
      </c>
      <c r="M45" s="11">
        <v>2</v>
      </c>
      <c r="N45" s="11">
        <v>-1</v>
      </c>
      <c r="O45"/>
      <c r="R45" s="5" cm="1">
        <f t="array" ref="R45:R54">MMULT($I$45:$N$54,R36:R41)+MMULT($I$58:$I$67,1)</f>
        <v>-0.48922799277014584</v>
      </c>
      <c r="T45" s="5" cm="1">
        <f t="array" ref="T45:T54">MMULT($I$45:$N$54,T36:T41)+MMULT($I$58:$I$67,1)</f>
        <v>4.9927722833788533</v>
      </c>
      <c r="V45" s="5" cm="1">
        <f t="array" ref="V45:V54">MMULT($I$45:$N$54,V36:V41)+MMULT($I$58:$I$67,1)</f>
        <v>-0.48745678693969574</v>
      </c>
      <c r="X45" s="5" cm="1">
        <f t="array" ref="X45:X54">MMULT($I$45:$N$54,X36:X41)+MMULT($I$58:$I$67,1)</f>
        <v>-0.9876078995114026</v>
      </c>
      <c r="Z45" s="5" cm="1">
        <f t="array" ref="Z45:Z54">MMULT($I$45:$N$54,Z36:Z41)+MMULT($I$58:$I$67,1)</f>
        <v>4.9931609536223123</v>
      </c>
      <c r="AB45" s="5" cm="1">
        <f t="array" ref="AB45:AB54">MMULT($I$45:$N$54,AB36:AB41)+MMULT($I$58:$I$67,1)</f>
        <v>4.6898512414071334</v>
      </c>
    </row>
    <row r="46" spans="9:28" x14ac:dyDescent="0.2">
      <c r="I46" s="11">
        <v>0</v>
      </c>
      <c r="J46" s="11">
        <v>1</v>
      </c>
      <c r="K46" s="11">
        <v>0</v>
      </c>
      <c r="L46" s="11">
        <v>0</v>
      </c>
      <c r="M46" s="11">
        <v>0</v>
      </c>
      <c r="N46" s="11">
        <v>0</v>
      </c>
      <c r="R46" s="5">
        <v>-0.76159415595576485</v>
      </c>
      <c r="T46" s="5">
        <v>0.99990243158805026</v>
      </c>
      <c r="V46" s="5">
        <v>4.9755932948084801E-3</v>
      </c>
      <c r="X46" s="5">
        <v>-0.94681701559291809</v>
      </c>
      <c r="Z46" s="5">
        <v>0.99989932710479446</v>
      </c>
      <c r="AB46" s="5">
        <v>0.99510156181258513</v>
      </c>
    </row>
    <row r="47" spans="9:28" x14ac:dyDescent="0.2">
      <c r="I47" s="11">
        <v>1</v>
      </c>
      <c r="J47" s="11">
        <v>0</v>
      </c>
      <c r="K47" s="11">
        <v>0</v>
      </c>
      <c r="L47" s="11">
        <v>0</v>
      </c>
      <c r="M47" s="11">
        <v>2</v>
      </c>
      <c r="N47" s="11">
        <v>0</v>
      </c>
      <c r="R47" s="5">
        <v>0.47614098782753722</v>
      </c>
      <c r="T47" s="5">
        <v>3.9991562154764129</v>
      </c>
      <c r="V47" s="5">
        <v>0.48011687356283828</v>
      </c>
      <c r="X47" s="5">
        <v>9.2937104381993763E-3</v>
      </c>
      <c r="Z47" s="5">
        <v>3.9991887378794946</v>
      </c>
      <c r="AB47" s="5">
        <v>3.9284325682052779</v>
      </c>
    </row>
    <row r="48" spans="9:28" x14ac:dyDescent="0.2">
      <c r="I48" s="11">
        <v>0</v>
      </c>
      <c r="J48" s="11">
        <v>0</v>
      </c>
      <c r="K48" s="11">
        <v>0</v>
      </c>
      <c r="L48" s="11">
        <v>1</v>
      </c>
      <c r="M48" s="11">
        <v>0</v>
      </c>
      <c r="N48" s="11">
        <v>0</v>
      </c>
      <c r="R48" s="5">
        <v>1.9993292997390668</v>
      </c>
      <c r="T48" s="5">
        <v>0.49165010055358471</v>
      </c>
      <c r="V48" s="5">
        <v>1.7565427393349546</v>
      </c>
      <c r="X48" s="5">
        <v>1.9999786129365102</v>
      </c>
      <c r="Z48" s="5">
        <v>0.26234694680982007</v>
      </c>
      <c r="AB48" s="5">
        <v>1.4186669587642808E-2</v>
      </c>
    </row>
    <row r="49" spans="9:28" x14ac:dyDescent="0.2">
      <c r="I49" s="11">
        <v>1</v>
      </c>
      <c r="J49" s="11">
        <v>0</v>
      </c>
      <c r="K49" s="11">
        <v>0</v>
      </c>
      <c r="L49" s="11">
        <v>0</v>
      </c>
      <c r="M49" s="11">
        <v>1</v>
      </c>
      <c r="N49" s="11">
        <v>0</v>
      </c>
      <c r="R49" s="5">
        <v>0.23773514378330207</v>
      </c>
      <c r="T49" s="5">
        <v>1.9992167831072649</v>
      </c>
      <c r="V49" s="5">
        <v>0.23913751628601687</v>
      </c>
      <c r="X49" s="5">
        <v>4.6468284841136853E-3</v>
      </c>
      <c r="Z49" s="5">
        <v>1.9992757301020641</v>
      </c>
      <c r="AB49" s="5">
        <v>1.9640191145981523</v>
      </c>
    </row>
    <row r="50" spans="9:28" x14ac:dyDescent="0.2">
      <c r="I50" s="11">
        <v>0</v>
      </c>
      <c r="J50" s="11">
        <v>1</v>
      </c>
      <c r="K50" s="11">
        <v>0</v>
      </c>
      <c r="L50" s="11">
        <v>0</v>
      </c>
      <c r="M50" s="11">
        <v>0</v>
      </c>
      <c r="N50" s="11">
        <v>1</v>
      </c>
      <c r="R50" s="5">
        <v>1.2024334241200521</v>
      </c>
      <c r="T50" s="5">
        <v>1.0048410651618433</v>
      </c>
      <c r="V50" s="5">
        <v>1.9688655718157335</v>
      </c>
      <c r="X50" s="5">
        <v>1.0500844874167399</v>
      </c>
      <c r="Z50" s="5">
        <v>1.004652556011244</v>
      </c>
      <c r="AB50" s="5">
        <v>1.2328942105927823</v>
      </c>
    </row>
    <row r="51" spans="9:28" x14ac:dyDescent="0.2">
      <c r="I51" s="11">
        <v>0</v>
      </c>
      <c r="J51" s="11">
        <v>1</v>
      </c>
      <c r="K51" s="11">
        <v>0</v>
      </c>
      <c r="L51" s="11">
        <v>1</v>
      </c>
      <c r="M51" s="11">
        <v>1</v>
      </c>
      <c r="N51" s="11">
        <v>0</v>
      </c>
      <c r="R51" s="5">
        <v>-0.52385901217246278</v>
      </c>
      <c r="T51" s="5">
        <v>1.4914919645107831</v>
      </c>
      <c r="V51" s="5">
        <v>2.4976899065843883E-3</v>
      </c>
      <c r="X51" s="5">
        <v>-0.94219152070232215</v>
      </c>
      <c r="Z51" s="5">
        <v>1.2621592816920448</v>
      </c>
      <c r="AB51" s="5">
        <v>0.97370168500735355</v>
      </c>
    </row>
    <row r="52" spans="9:28" x14ac:dyDescent="0.2">
      <c r="I52" s="11">
        <v>0</v>
      </c>
      <c r="J52" s="11">
        <v>1</v>
      </c>
      <c r="K52" s="11">
        <v>1</v>
      </c>
      <c r="L52" s="11">
        <v>1</v>
      </c>
      <c r="M52" s="11">
        <v>0</v>
      </c>
      <c r="N52" s="11">
        <v>2</v>
      </c>
      <c r="R52" s="5">
        <v>3.9273844598907011</v>
      </c>
      <c r="T52" s="5">
        <v>0.50026903525676225</v>
      </c>
      <c r="V52" s="5">
        <v>4.6843782021997971</v>
      </c>
      <c r="X52" s="5">
        <v>4.0224683450930296</v>
      </c>
      <c r="Z52" s="5">
        <v>0.27101529726752482</v>
      </c>
      <c r="AB52" s="5">
        <v>0.47995966902363896</v>
      </c>
    </row>
    <row r="53" spans="9:28" x14ac:dyDescent="0.2">
      <c r="I53" s="11">
        <v>0</v>
      </c>
      <c r="J53" s="11">
        <v>1</v>
      </c>
      <c r="K53" s="11">
        <v>0</v>
      </c>
      <c r="L53" s="11">
        <v>1</v>
      </c>
      <c r="M53" s="11">
        <v>2</v>
      </c>
      <c r="N53" s="11">
        <v>0</v>
      </c>
      <c r="R53" s="5">
        <v>-1.2854531681282277</v>
      </c>
      <c r="T53" s="5">
        <v>2.4914313968799315</v>
      </c>
      <c r="V53" s="5">
        <v>-0.75652295281659421</v>
      </c>
      <c r="X53" s="5">
        <v>-1.9375446387482365</v>
      </c>
      <c r="Z53" s="5">
        <v>2.2620722894694754</v>
      </c>
      <c r="AB53" s="5">
        <v>1.9381151386144793</v>
      </c>
    </row>
    <row r="54" spans="9:28" x14ac:dyDescent="0.2">
      <c r="I54" s="11">
        <v>3</v>
      </c>
      <c r="J54" s="11">
        <v>0</v>
      </c>
      <c r="K54" s="11">
        <v>2</v>
      </c>
      <c r="L54" s="11">
        <v>0</v>
      </c>
      <c r="M54" s="11">
        <v>1</v>
      </c>
      <c r="N54" s="11">
        <v>0</v>
      </c>
      <c r="R54" s="5">
        <v>1.7595820551729662</v>
      </c>
      <c r="T54" s="5">
        <v>3.9954499565185806</v>
      </c>
      <c r="V54" s="5">
        <v>2.225613659360774</v>
      </c>
      <c r="X54" s="5">
        <v>1.9556542050044126</v>
      </c>
      <c r="Z54" s="5">
        <v>3.9965263058313534</v>
      </c>
      <c r="AB54" s="5">
        <v>3.953402716706238</v>
      </c>
    </row>
    <row r="55" spans="9:28" x14ac:dyDescent="0.2">
      <c r="Z55" s="2"/>
      <c r="AB55" s="2"/>
    </row>
    <row r="56" spans="9:28" x14ac:dyDescent="0.2">
      <c r="Z56" s="2"/>
      <c r="AB56" s="2"/>
    </row>
    <row r="57" spans="9:28" x14ac:dyDescent="0.2">
      <c r="I57" s="9" t="s">
        <v>22</v>
      </c>
      <c r="R57" s="10" t="s">
        <v>37</v>
      </c>
      <c r="Z57" s="2"/>
      <c r="AB57" s="2"/>
    </row>
    <row r="58" spans="9:28" x14ac:dyDescent="0.2">
      <c r="I58" s="4">
        <v>-1</v>
      </c>
      <c r="K58"/>
      <c r="R58" s="6">
        <f>EXP(R45)</f>
        <v>0.61309952879809837</v>
      </c>
      <c r="T58" s="6">
        <f t="shared" ref="T58:AB58" si="12">EXP(T45)</f>
        <v>147.34433806643816</v>
      </c>
      <c r="V58" s="6">
        <f t="shared" si="12"/>
        <v>0.61418641652494521</v>
      </c>
      <c r="X58" s="6">
        <f t="shared" si="12"/>
        <v>0.37246660376219043</v>
      </c>
      <c r="Z58" s="6">
        <f t="shared" si="12"/>
        <v>147.40161755688243</v>
      </c>
      <c r="AB58" s="6">
        <f t="shared" si="12"/>
        <v>108.83698816591154</v>
      </c>
    </row>
    <row r="59" spans="9:28" x14ac:dyDescent="0.2">
      <c r="I59" s="4">
        <v>0</v>
      </c>
      <c r="K59"/>
      <c r="R59" s="6">
        <f t="shared" ref="R59:AB59" si="13">EXP(R46)</f>
        <v>0.46692148772244257</v>
      </c>
      <c r="T59" s="6">
        <f t="shared" si="13"/>
        <v>2.7180166229558611</v>
      </c>
      <c r="V59" s="6">
        <f t="shared" si="13"/>
        <v>1.0049879921144249</v>
      </c>
      <c r="X59" s="6">
        <f t="shared" si="13"/>
        <v>0.38797397529401628</v>
      </c>
      <c r="Z59" s="6">
        <f t="shared" si="13"/>
        <v>2.7180081849318638</v>
      </c>
      <c r="AB59" s="6">
        <f t="shared" si="13"/>
        <v>2.7049990519359155</v>
      </c>
    </row>
    <row r="60" spans="9:28" x14ac:dyDescent="0.2">
      <c r="I60" s="4">
        <v>1</v>
      </c>
      <c r="K60"/>
      <c r="R60" s="6">
        <f t="shared" ref="R60:AB60" si="14">EXP(R47)</f>
        <v>1.6098499692090575</v>
      </c>
      <c r="T60" s="6">
        <f t="shared" si="14"/>
        <v>54.552100389850118</v>
      </c>
      <c r="V60" s="6">
        <f t="shared" si="14"/>
        <v>1.6162632896038467</v>
      </c>
      <c r="X60" s="6">
        <f t="shared" si="14"/>
        <v>1.0093370310641705</v>
      </c>
      <c r="Z60" s="6">
        <f t="shared" si="14"/>
        <v>54.553874584098324</v>
      </c>
      <c r="AB60" s="6">
        <f t="shared" si="14"/>
        <v>50.827246956380478</v>
      </c>
    </row>
    <row r="61" spans="9:28" x14ac:dyDescent="0.2">
      <c r="I61" s="4">
        <v>1</v>
      </c>
      <c r="K61"/>
      <c r="R61" s="6">
        <f t="shared" ref="R61:AB61" si="15">EXP(R48)</f>
        <v>7.384101918647767</v>
      </c>
      <c r="T61" s="6">
        <f t="shared" si="15"/>
        <v>1.635011929337661</v>
      </c>
      <c r="V61" s="6">
        <f t="shared" si="15"/>
        <v>5.7923769802525218</v>
      </c>
      <c r="X61" s="6">
        <f t="shared" si="15"/>
        <v>7.3888980704086222</v>
      </c>
      <c r="Z61" s="6">
        <f t="shared" si="15"/>
        <v>1.2999774872399623</v>
      </c>
      <c r="AB61" s="6">
        <f t="shared" si="15"/>
        <v>1.0142877779491526</v>
      </c>
    </row>
    <row r="62" spans="9:28" x14ac:dyDescent="0.2">
      <c r="I62" s="4">
        <v>0</v>
      </c>
      <c r="K62"/>
      <c r="R62" s="6">
        <f t="shared" ref="R62:AB62" si="16">EXP(R49)</f>
        <v>1.2683732118033044</v>
      </c>
      <c r="T62" s="6">
        <f t="shared" si="16"/>
        <v>7.3832711311105825</v>
      </c>
      <c r="V62" s="6">
        <f t="shared" si="16"/>
        <v>1.270153191324169</v>
      </c>
      <c r="X62" s="6">
        <f t="shared" si="16"/>
        <v>1.0046576417342123</v>
      </c>
      <c r="Z62" s="6">
        <f t="shared" si="16"/>
        <v>7.3837063655833051</v>
      </c>
      <c r="AB62" s="6">
        <f t="shared" si="16"/>
        <v>7.127917489812055</v>
      </c>
    </row>
    <row r="63" spans="9:28" x14ac:dyDescent="0.2">
      <c r="I63" s="4">
        <v>1</v>
      </c>
      <c r="K63"/>
      <c r="R63" s="6">
        <f t="shared" ref="R63:AB63" si="17">EXP(R50)</f>
        <v>3.3282060134402771</v>
      </c>
      <c r="T63" s="6">
        <f t="shared" si="17"/>
        <v>2.7314731120882088</v>
      </c>
      <c r="V63" s="6">
        <f t="shared" si="17"/>
        <v>7.1625464831633785</v>
      </c>
      <c r="X63" s="6">
        <f t="shared" si="17"/>
        <v>2.8578925638234933</v>
      </c>
      <c r="Z63" s="6">
        <f t="shared" si="17"/>
        <v>2.7309582529413188</v>
      </c>
      <c r="AB63" s="6">
        <f t="shared" si="17"/>
        <v>3.4311456377751082</v>
      </c>
    </row>
    <row r="64" spans="9:28" x14ac:dyDescent="0.2">
      <c r="I64" s="4">
        <v>0</v>
      </c>
      <c r="K64"/>
      <c r="R64" s="6">
        <f t="shared" ref="R64:AB64" si="18">EXP(R51)</f>
        <v>0.5922307070424917</v>
      </c>
      <c r="T64" s="6">
        <f t="shared" si="18"/>
        <v>4.4437204489002173</v>
      </c>
      <c r="V64" s="6">
        <f t="shared" si="18"/>
        <v>1.0025008117325958</v>
      </c>
      <c r="X64" s="6">
        <f t="shared" si="18"/>
        <v>0.38977270373201051</v>
      </c>
      <c r="Z64" s="6">
        <f t="shared" si="18"/>
        <v>3.5330420899927395</v>
      </c>
      <c r="AB64" s="6">
        <f t="shared" si="18"/>
        <v>2.6477273943105399</v>
      </c>
    </row>
    <row r="65" spans="9:28" x14ac:dyDescent="0.2">
      <c r="I65" s="4">
        <v>1</v>
      </c>
      <c r="K65"/>
      <c r="R65" s="6">
        <f t="shared" ref="R65:AB65" si="19">EXP(R52)</f>
        <v>50.774002404141633</v>
      </c>
      <c r="T65" s="6">
        <f t="shared" si="19"/>
        <v>1.649164894523069</v>
      </c>
      <c r="V65" s="6">
        <f t="shared" si="19"/>
        <v>108.24294615292001</v>
      </c>
      <c r="X65" s="6">
        <f t="shared" si="19"/>
        <v>55.838765203569679</v>
      </c>
      <c r="Z65" s="6">
        <f t="shared" si="19"/>
        <v>1.3112951294635624</v>
      </c>
      <c r="AB65" s="6">
        <f t="shared" si="19"/>
        <v>1.6160092256487064</v>
      </c>
    </row>
    <row r="66" spans="9:28" x14ac:dyDescent="0.2">
      <c r="I66" s="4">
        <v>0</v>
      </c>
      <c r="K66"/>
      <c r="R66" s="6">
        <f t="shared" ref="R66:AB66" si="20">EXP(R53)</f>
        <v>0.27652524280719426</v>
      </c>
      <c r="T66" s="6">
        <f t="shared" si="20"/>
        <v>12.078552955505545</v>
      </c>
      <c r="V66" s="6">
        <f t="shared" si="20"/>
        <v>0.46929535553225704</v>
      </c>
      <c r="X66" s="6">
        <f t="shared" si="20"/>
        <v>0.14405722842357441</v>
      </c>
      <c r="Z66" s="6">
        <f t="shared" si="20"/>
        <v>9.602968692481415</v>
      </c>
      <c r="AB66" s="6">
        <f t="shared" si="20"/>
        <v>6.9456470430643327</v>
      </c>
    </row>
    <row r="67" spans="9:28" x14ac:dyDescent="0.2">
      <c r="I67" s="4">
        <v>-2</v>
      </c>
      <c r="K67"/>
      <c r="R67" s="6">
        <f t="shared" ref="R67:AB67" si="21">EXP(R54)</f>
        <v>5.8100086238425401</v>
      </c>
      <c r="T67" s="6">
        <f t="shared" si="21"/>
        <v>54.350290390182302</v>
      </c>
      <c r="V67" s="6">
        <f t="shared" si="21"/>
        <v>9.2591630329338752</v>
      </c>
      <c r="X67" s="6">
        <f t="shared" si="21"/>
        <v>7.0685417868297948</v>
      </c>
      <c r="Z67" s="6">
        <f t="shared" si="21"/>
        <v>54.40882178235379</v>
      </c>
      <c r="AB67" s="6">
        <f t="shared" si="21"/>
        <v>52.112389182851281</v>
      </c>
    </row>
    <row r="68" spans="9:28" x14ac:dyDescent="0.2">
      <c r="K68"/>
    </row>
    <row r="70" spans="9:28" x14ac:dyDescent="0.2">
      <c r="R70" s="10" t="s">
        <v>13</v>
      </c>
      <c r="Z70" s="2"/>
      <c r="AB70" s="2"/>
    </row>
    <row r="71" spans="9:28" x14ac:dyDescent="0.2">
      <c r="R71" s="5">
        <f>R58/SUM(R$58:R$67)</f>
        <v>8.5007115089178863E-3</v>
      </c>
      <c r="T71" s="5">
        <f t="shared" ref="T71:AB71" si="22">T58/SUM(T$58:T$67)</f>
        <v>0.51004329977632679</v>
      </c>
      <c r="V71" s="5">
        <f t="shared" si="22"/>
        <v>4.5016969900116468E-3</v>
      </c>
      <c r="X71" s="5">
        <f t="shared" si="22"/>
        <v>4.871241092749677E-3</v>
      </c>
      <c r="Z71" s="5">
        <f t="shared" si="22"/>
        <v>0.51729981266764491</v>
      </c>
      <c r="AB71" s="5">
        <f t="shared" si="22"/>
        <v>0.45871613046921306</v>
      </c>
    </row>
    <row r="72" spans="9:28" x14ac:dyDescent="0.2">
      <c r="R72" s="5">
        <f t="shared" ref="R72:AB80" si="23">R59/SUM(R$58:R$67)</f>
        <v>6.473932335626255E-3</v>
      </c>
      <c r="T72" s="5">
        <f t="shared" si="23"/>
        <v>9.4086151216358545E-3</v>
      </c>
      <c r="V72" s="5">
        <f t="shared" si="23"/>
        <v>7.3660883688976969E-3</v>
      </c>
      <c r="X72" s="5">
        <f t="shared" si="23"/>
        <v>5.0740516123596365E-3</v>
      </c>
      <c r="Z72" s="5">
        <f t="shared" si="23"/>
        <v>9.538736061371865E-3</v>
      </c>
      <c r="AB72" s="5">
        <f t="shared" si="23"/>
        <v>1.1400781287106291E-2</v>
      </c>
    </row>
    <row r="73" spans="9:28" x14ac:dyDescent="0.2">
      <c r="R73" s="5">
        <f t="shared" si="23"/>
        <v>2.2320797061635235E-2</v>
      </c>
      <c r="T73" s="5">
        <f t="shared" si="23"/>
        <v>0.188836121276833</v>
      </c>
      <c r="V73" s="5">
        <f t="shared" si="23"/>
        <v>1.1846448228280617E-2</v>
      </c>
      <c r="X73" s="5">
        <f t="shared" si="23"/>
        <v>1.3200442596708446E-2</v>
      </c>
      <c r="Z73" s="5">
        <f t="shared" si="23"/>
        <v>0.19145454147921992</v>
      </c>
      <c r="AB73" s="5">
        <f t="shared" si="23"/>
        <v>0.21422200705050784</v>
      </c>
    </row>
    <row r="74" spans="9:28" x14ac:dyDescent="0.2">
      <c r="R74" s="5">
        <f t="shared" si="23"/>
        <v>0.10238161540577979</v>
      </c>
      <c r="T74" s="5">
        <f t="shared" si="23"/>
        <v>5.6597144522582063E-3</v>
      </c>
      <c r="V74" s="5">
        <f t="shared" si="23"/>
        <v>4.245539353434475E-2</v>
      </c>
      <c r="X74" s="5">
        <f t="shared" si="23"/>
        <v>9.6634446007121427E-2</v>
      </c>
      <c r="Z74" s="5">
        <f t="shared" si="23"/>
        <v>4.562216628062974E-3</v>
      </c>
      <c r="AB74" s="5">
        <f t="shared" si="23"/>
        <v>4.2749268656147674E-3</v>
      </c>
    </row>
    <row r="75" spans="9:28" x14ac:dyDescent="0.2">
      <c r="R75" s="5">
        <f t="shared" si="23"/>
        <v>1.7586173619014753E-2</v>
      </c>
      <c r="T75" s="5">
        <f t="shared" si="23"/>
        <v>2.5557737883059508E-2</v>
      </c>
      <c r="V75" s="5">
        <f t="shared" si="23"/>
        <v>9.3096243166515356E-3</v>
      </c>
      <c r="X75" s="5">
        <f t="shared" si="23"/>
        <v>1.3139243999672293E-2</v>
      </c>
      <c r="Z75" s="5">
        <f t="shared" si="23"/>
        <v>2.5912808712802337E-2</v>
      </c>
      <c r="AB75" s="5">
        <f t="shared" si="23"/>
        <v>3.0042091244256806E-2</v>
      </c>
    </row>
    <row r="76" spans="9:28" x14ac:dyDescent="0.2">
      <c r="R76" s="5">
        <f t="shared" si="23"/>
        <v>4.6146046169639847E-2</v>
      </c>
      <c r="T76" s="5">
        <f t="shared" si="23"/>
        <v>9.4551957518150213E-3</v>
      </c>
      <c r="V76" s="5">
        <f t="shared" si="23"/>
        <v>5.2498090280974997E-2</v>
      </c>
      <c r="X76" s="5">
        <f t="shared" si="23"/>
        <v>3.7376461553716128E-2</v>
      </c>
      <c r="Z76" s="5">
        <f t="shared" si="23"/>
        <v>9.584183783495669E-3</v>
      </c>
      <c r="AB76" s="5">
        <f t="shared" si="23"/>
        <v>1.4461277149981633E-2</v>
      </c>
    </row>
    <row r="77" spans="9:28" x14ac:dyDescent="0.2">
      <c r="R77" s="5">
        <f t="shared" si="23"/>
        <v>8.211362349535541E-3</v>
      </c>
      <c r="T77" s="5">
        <f t="shared" si="23"/>
        <v>1.5382266266781405E-2</v>
      </c>
      <c r="V77" s="5">
        <f t="shared" si="23"/>
        <v>7.3478585088140981E-3</v>
      </c>
      <c r="X77" s="5">
        <f t="shared" si="23"/>
        <v>5.0975759761370913E-3</v>
      </c>
      <c r="Z77" s="5">
        <f t="shared" si="23"/>
        <v>1.2399063467501366E-2</v>
      </c>
      <c r="AB77" s="5">
        <f t="shared" si="23"/>
        <v>1.1159397970513392E-2</v>
      </c>
    </row>
    <row r="78" spans="9:28" x14ac:dyDescent="0.2">
      <c r="R78" s="5">
        <f t="shared" si="23"/>
        <v>0.7039887103433865</v>
      </c>
      <c r="T78" s="5">
        <f t="shared" si="23"/>
        <v>5.7087059856928335E-3</v>
      </c>
      <c r="V78" s="5">
        <f t="shared" si="23"/>
        <v>0.79336978444361606</v>
      </c>
      <c r="X78" s="5">
        <f t="shared" si="23"/>
        <v>0.73027778834554646</v>
      </c>
      <c r="Z78" s="5">
        <f t="shared" si="23"/>
        <v>4.6019354201572906E-3</v>
      </c>
      <c r="AB78" s="5">
        <f t="shared" si="23"/>
        <v>6.8110070967978215E-3</v>
      </c>
    </row>
    <row r="79" spans="9:28" x14ac:dyDescent="0.2">
      <c r="R79" s="5">
        <f t="shared" si="23"/>
        <v>3.8340615244731864E-3</v>
      </c>
      <c r="T79" s="5">
        <f t="shared" si="23"/>
        <v>4.1810802415572425E-2</v>
      </c>
      <c r="V79" s="5">
        <f t="shared" si="23"/>
        <v>3.4397137946801247E-3</v>
      </c>
      <c r="X79" s="5">
        <f t="shared" si="23"/>
        <v>1.8840279469795964E-3</v>
      </c>
      <c r="Z79" s="5">
        <f t="shared" si="23"/>
        <v>3.3701217042322401E-2</v>
      </c>
      <c r="AB79" s="5">
        <f t="shared" si="23"/>
        <v>2.9273874524555283E-2</v>
      </c>
    </row>
    <row r="80" spans="9:28" x14ac:dyDescent="0.2">
      <c r="R80" s="5">
        <f t="shared" si="23"/>
        <v>8.0556589681991031E-2</v>
      </c>
      <c r="T80" s="5">
        <f t="shared" si="23"/>
        <v>0.18813754107002503</v>
      </c>
      <c r="V80" s="5">
        <f t="shared" si="23"/>
        <v>6.7865301533728439E-2</v>
      </c>
      <c r="X80" s="5">
        <f t="shared" si="23"/>
        <v>9.244472086900915E-2</v>
      </c>
      <c r="Z80" s="5">
        <f t="shared" si="23"/>
        <v>0.19094548473742121</v>
      </c>
      <c r="AB80" s="5">
        <f t="shared" si="23"/>
        <v>0.2196385063414531</v>
      </c>
    </row>
  </sheetData>
  <phoneticPr fontId="4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3C58-43D1-E447-B84F-2BAE206C52D1}">
  <dimension ref="E1:Z34"/>
  <sheetViews>
    <sheetView showGridLines="0" tabSelected="1" zoomScale="91" workbookViewId="0">
      <selection activeCell="K8" sqref="K8"/>
    </sheetView>
  </sheetViews>
  <sheetFormatPr baseColWidth="10" defaultRowHeight="16" x14ac:dyDescent="0.2"/>
  <cols>
    <col min="7" max="8" width="9" customWidth="1"/>
    <col min="9" max="12" width="5.83203125" style="2" customWidth="1"/>
    <col min="13" max="13" width="5.83203125" customWidth="1"/>
    <col min="14" max="15" width="10.83203125" style="2"/>
    <col min="16" max="16" width="2.83203125" customWidth="1"/>
    <col min="17" max="18" width="10.83203125" style="2"/>
    <col min="19" max="19" width="2.83203125" customWidth="1"/>
    <col min="20" max="21" width="10.83203125" style="2"/>
    <col min="22" max="22" width="2.83203125" customWidth="1"/>
    <col min="23" max="24" width="10.83203125" style="2"/>
  </cols>
  <sheetData>
    <row r="1" spans="5:26" x14ac:dyDescent="0.2">
      <c r="H1" s="22" t="s">
        <v>63</v>
      </c>
      <c r="I1" s="22"/>
      <c r="J1" s="22"/>
      <c r="K1" s="22"/>
      <c r="L1" s="23"/>
      <c r="M1" s="21"/>
    </row>
    <row r="2" spans="5:26" x14ac:dyDescent="0.2">
      <c r="N2" s="10" t="s">
        <v>8</v>
      </c>
      <c r="O2" s="10"/>
    </row>
    <row r="3" spans="5:26" x14ac:dyDescent="0.2">
      <c r="H3" s="3" t="s">
        <v>0</v>
      </c>
      <c r="I3" s="2">
        <v>4</v>
      </c>
      <c r="J3" s="2" t="s">
        <v>23</v>
      </c>
      <c r="N3" s="10" t="s">
        <v>9</v>
      </c>
      <c r="O3" s="10"/>
      <c r="Q3" s="10" t="s">
        <v>10</v>
      </c>
      <c r="R3" s="10"/>
      <c r="T3" s="10" t="s">
        <v>11</v>
      </c>
      <c r="U3" s="10"/>
      <c r="W3" s="10" t="s">
        <v>12</v>
      </c>
      <c r="X3" s="10"/>
      <c r="Z3" s="1" t="s">
        <v>52</v>
      </c>
    </row>
    <row r="4" spans="5:26" x14ac:dyDescent="0.2">
      <c r="E4" s="1"/>
      <c r="H4" s="3" t="s">
        <v>1</v>
      </c>
      <c r="I4" s="16">
        <v>1</v>
      </c>
      <c r="J4" s="16" t="s">
        <v>24</v>
      </c>
    </row>
    <row r="5" spans="5:26" x14ac:dyDescent="0.2">
      <c r="E5" s="1"/>
      <c r="H5" s="3" t="s">
        <v>2</v>
      </c>
      <c r="I5" s="15">
        <v>3</v>
      </c>
      <c r="J5" s="15" t="s">
        <v>25</v>
      </c>
      <c r="N5" s="9" t="s">
        <v>16</v>
      </c>
      <c r="O5" s="9"/>
      <c r="Z5" s="1" t="s">
        <v>46</v>
      </c>
    </row>
    <row r="6" spans="5:26" x14ac:dyDescent="0.2">
      <c r="H6" s="3" t="s">
        <v>3</v>
      </c>
      <c r="I6" s="17">
        <v>4</v>
      </c>
      <c r="J6" s="17"/>
      <c r="N6" s="10" t="s">
        <v>54</v>
      </c>
      <c r="O6" s="10" t="s">
        <v>58</v>
      </c>
      <c r="Q6" s="10" t="s">
        <v>55</v>
      </c>
      <c r="R6" s="10" t="s">
        <v>59</v>
      </c>
      <c r="T6" s="10" t="s">
        <v>56</v>
      </c>
      <c r="U6" s="10" t="s">
        <v>60</v>
      </c>
      <c r="W6" s="10" t="s">
        <v>57</v>
      </c>
      <c r="X6" s="10" t="s">
        <v>61</v>
      </c>
      <c r="Z6" s="1" t="s">
        <v>47</v>
      </c>
    </row>
    <row r="7" spans="5:26" x14ac:dyDescent="0.2">
      <c r="H7" s="3" t="s">
        <v>53</v>
      </c>
      <c r="I7" s="18">
        <v>2</v>
      </c>
      <c r="J7" s="18"/>
      <c r="N7" s="7">
        <v>2</v>
      </c>
      <c r="O7" s="7">
        <f>N7+1</f>
        <v>3</v>
      </c>
      <c r="Q7" s="7">
        <v>1</v>
      </c>
      <c r="R7" s="7">
        <f>Q7+1</f>
        <v>2</v>
      </c>
      <c r="T7" s="7">
        <v>1</v>
      </c>
      <c r="U7" s="7">
        <f>T7+1</f>
        <v>2</v>
      </c>
      <c r="W7" s="7">
        <v>1</v>
      </c>
      <c r="X7" s="7">
        <f>W7+1</f>
        <v>2</v>
      </c>
      <c r="Z7" s="1" t="s">
        <v>48</v>
      </c>
    </row>
    <row r="8" spans="5:26" x14ac:dyDescent="0.2">
      <c r="N8" s="7">
        <v>-1</v>
      </c>
      <c r="O8" s="7">
        <f>N8-1</f>
        <v>-2</v>
      </c>
      <c r="Q8" s="7">
        <v>0</v>
      </c>
      <c r="R8" s="7">
        <f>Q8-1</f>
        <v>-1</v>
      </c>
      <c r="T8" s="7">
        <v>1</v>
      </c>
      <c r="U8" s="7">
        <f>T8-1</f>
        <v>0</v>
      </c>
      <c r="W8" s="7">
        <v>2</v>
      </c>
      <c r="X8" s="7">
        <f>W8-1</f>
        <v>1</v>
      </c>
      <c r="Z8" s="1" t="s">
        <v>49</v>
      </c>
    </row>
    <row r="9" spans="5:26" x14ac:dyDescent="0.2">
      <c r="I9" s="24" t="str">
        <f>"(N, L, Hin) = ("&amp;I7&amp;","&amp;I6&amp;","&amp;I3&amp;")"</f>
        <v>(N, L, Hin) = (2,4,4)</v>
      </c>
      <c r="N9" s="7">
        <v>0</v>
      </c>
      <c r="O9" s="7">
        <f>N9+1</f>
        <v>1</v>
      </c>
      <c r="Q9" s="7">
        <v>1</v>
      </c>
      <c r="R9" s="7">
        <f>Q9+1</f>
        <v>2</v>
      </c>
      <c r="T9" s="7">
        <v>0</v>
      </c>
      <c r="U9" s="7">
        <f>T9+1</f>
        <v>1</v>
      </c>
      <c r="W9" s="7">
        <v>-1</v>
      </c>
      <c r="X9" s="7">
        <f>W9+1</f>
        <v>0</v>
      </c>
      <c r="Z9" s="1" t="s">
        <v>50</v>
      </c>
    </row>
    <row r="10" spans="5:26" x14ac:dyDescent="0.2">
      <c r="N10" s="7">
        <v>1</v>
      </c>
      <c r="O10" s="7">
        <f>N10-1</f>
        <v>0</v>
      </c>
      <c r="Q10" s="7">
        <v>0</v>
      </c>
      <c r="R10" s="7">
        <f>Q10-1</f>
        <v>-1</v>
      </c>
      <c r="T10" s="7">
        <v>0</v>
      </c>
      <c r="U10" s="7">
        <f>T10-1</f>
        <v>-1</v>
      </c>
      <c r="W10" s="7">
        <v>2</v>
      </c>
      <c r="X10" s="7">
        <f>W10-1</f>
        <v>1</v>
      </c>
      <c r="Z10" s="1" t="s">
        <v>51</v>
      </c>
    </row>
    <row r="12" spans="5:26" x14ac:dyDescent="0.2">
      <c r="N12" s="9" t="s">
        <v>26</v>
      </c>
      <c r="O12" s="9"/>
    </row>
    <row r="13" spans="5:26" x14ac:dyDescent="0.2">
      <c r="I13" s="9" t="s">
        <v>20</v>
      </c>
      <c r="N13" s="10" t="s">
        <v>38</v>
      </c>
      <c r="O13" s="10" t="s">
        <v>39</v>
      </c>
      <c r="Q13" s="10" t="s">
        <v>40</v>
      </c>
      <c r="R13" s="10" t="s">
        <v>41</v>
      </c>
      <c r="T13" s="10" t="s">
        <v>42</v>
      </c>
      <c r="U13" s="10" t="s">
        <v>43</v>
      </c>
      <c r="W13" s="10" t="s">
        <v>44</v>
      </c>
      <c r="X13" s="10" t="s">
        <v>45</v>
      </c>
    </row>
    <row r="14" spans="5:26" x14ac:dyDescent="0.2">
      <c r="I14" s="7">
        <v>0.37663882999999998</v>
      </c>
      <c r="J14" s="7">
        <v>-0.48650870000000002</v>
      </c>
      <c r="K14" s="7">
        <v>0.40739626000000001</v>
      </c>
      <c r="L14" s="7">
        <v>-0.56883289999999997</v>
      </c>
      <c r="N14" s="8">
        <v>0</v>
      </c>
      <c r="O14" s="8">
        <v>0</v>
      </c>
      <c r="Q14" s="12">
        <f>N24</f>
        <v>0.59702168656330246</v>
      </c>
      <c r="R14" s="12">
        <f>O24</f>
        <v>0.98733574020680392</v>
      </c>
      <c r="T14" s="12">
        <f t="shared" ref="T14" si="0">Q24</f>
        <v>0.74747492715389685</v>
      </c>
      <c r="U14" s="12">
        <f>R24</f>
        <v>0.98889286311226698</v>
      </c>
      <c r="W14" s="12">
        <f>T24</f>
        <v>0.2069797447924186</v>
      </c>
      <c r="X14" s="12">
        <f>U24</f>
        <v>0.93767409884575126</v>
      </c>
    </row>
    <row r="15" spans="5:26" x14ac:dyDescent="0.2">
      <c r="I15" s="7">
        <v>0.56738049999999995</v>
      </c>
      <c r="J15" s="7">
        <v>-0.16735654</v>
      </c>
      <c r="K15" s="7">
        <v>-0.15659580000000001</v>
      </c>
      <c r="L15" s="7">
        <v>-0.46818936</v>
      </c>
      <c r="N15" s="8">
        <v>0</v>
      </c>
      <c r="O15" s="8">
        <v>0</v>
      </c>
      <c r="Q15" s="12">
        <f>N25</f>
        <v>2.1762243525109404E-2</v>
      </c>
      <c r="R15" s="12">
        <f>O25</f>
        <v>0.78874291389282269</v>
      </c>
      <c r="T15" s="12">
        <f t="shared" ref="T15" si="1">Q25</f>
        <v>-0.36858254987587874</v>
      </c>
      <c r="U15" s="12">
        <f>R25</f>
        <v>0.66444545594329663</v>
      </c>
      <c r="W15" s="12">
        <f>T25</f>
        <v>-0.67174814695189922</v>
      </c>
      <c r="X15" s="12">
        <f>U25</f>
        <v>0.53843094883651643</v>
      </c>
    </row>
    <row r="16" spans="5:26" x14ac:dyDescent="0.2">
      <c r="I16" s="7">
        <v>0.13276318000000001</v>
      </c>
      <c r="J16" s="7">
        <v>0.24627653999999999</v>
      </c>
      <c r="K16" s="7">
        <v>-0.103348464</v>
      </c>
      <c r="L16" s="7">
        <v>-0.49837208</v>
      </c>
      <c r="N16" s="8">
        <v>0</v>
      </c>
      <c r="O16" s="8">
        <v>0</v>
      </c>
      <c r="Q16" s="12">
        <f>N26</f>
        <v>-0.78826169024843407</v>
      </c>
      <c r="R16" s="12">
        <f>O26</f>
        <v>-0.65574613778691715</v>
      </c>
      <c r="T16" s="12">
        <f t="shared" ref="T16" si="2">Q26</f>
        <v>-0.46423281988402665</v>
      </c>
      <c r="U16" s="12">
        <f>R26</f>
        <v>-0.35554650969730994</v>
      </c>
      <c r="W16" s="12">
        <f>T26</f>
        <v>-0.30476813848255885</v>
      </c>
      <c r="X16" s="12">
        <f>U26</f>
        <v>-0.12043710884126756</v>
      </c>
    </row>
    <row r="18" spans="9:24" x14ac:dyDescent="0.2">
      <c r="I18" s="9" t="s">
        <v>19</v>
      </c>
      <c r="N18" s="9" t="s">
        <v>14</v>
      </c>
      <c r="O18" s="9"/>
    </row>
    <row r="19" spans="9:24" x14ac:dyDescent="0.2">
      <c r="I19" s="8">
        <v>0.17738365</v>
      </c>
      <c r="J19" s="8">
        <v>-0.3528347</v>
      </c>
      <c r="K19" s="8">
        <v>-8.5500489999999998E-2</v>
      </c>
      <c r="N19" s="14" cm="1">
        <f t="array" ref="N19:O21">MMULT($I$14:$L$16,N7:O10)+MMULT($I$19:$K$21,N14:O16)+MMULT($I$24:$I$26,1)+MMULT($K$24:$K$26,1)</f>
        <v>0.68850649000000008</v>
      </c>
      <c r="O19" s="14">
        <v>2.5278831800000003</v>
      </c>
      <c r="Q19" s="14" cm="1">
        <f t="array" ref="Q19:R21">MMULT($I$14:$L$16,Q7:R10)+MMULT($I$19:$K$21,Q14:R16)+MMULT($I$24:$I$26,1)+MMULT($K$24:$K$26,1)</f>
        <v>0.96720829199071501</v>
      </c>
      <c r="R19" s="14">
        <v>2.593872774069224</v>
      </c>
      <c r="T19" s="14" cm="1">
        <f t="array" ref="T19:U21">MMULT($I$14:$L$16,T7:U10)+MMULT($I$19:$K$21,T14:U16)+MMULT($I$24:$I$26,1)+MMULT($K$24:$K$26,1)</f>
        <v>0.21001383784689898</v>
      </c>
      <c r="U19" s="14">
        <v>1.7184332632005979</v>
      </c>
      <c r="W19" s="14" cm="1">
        <f t="array" ref="W19:X21">MMULT($I$14:$L$16,W7:X10)+MMULT($I$19:$K$21,W14:X16)+MMULT($I$24:$I$26,1)+MMULT($K$24:$K$26,1)</f>
        <v>-1.8240988963106761</v>
      </c>
      <c r="X19" s="14">
        <v>-0.2978625463196159</v>
      </c>
    </row>
    <row r="20" spans="9:24" x14ac:dyDescent="0.2">
      <c r="I20" s="8">
        <v>-0.53121185000000004</v>
      </c>
      <c r="J20" s="8">
        <v>0.52461829999999998</v>
      </c>
      <c r="K20" s="8">
        <v>-0.40636771999999999</v>
      </c>
      <c r="N20" s="14">
        <v>2.1765679999999787E-2</v>
      </c>
      <c r="O20" s="14">
        <v>1.06809628</v>
      </c>
      <c r="Q20" s="14">
        <v>-0.38678181757748087</v>
      </c>
      <c r="R20" s="14">
        <v>0.80073138440839875</v>
      </c>
      <c r="T20" s="14">
        <v>-0.81392199704214296</v>
      </c>
      <c r="U20" s="14">
        <v>0.60194332277368678</v>
      </c>
      <c r="W20" s="14">
        <v>-1.6977915304619624</v>
      </c>
      <c r="X20" s="14">
        <v>-0.47963851037571659</v>
      </c>
    </row>
    <row r="21" spans="9:24" x14ac:dyDescent="0.2">
      <c r="I21" s="8">
        <v>-0.32683295000000001</v>
      </c>
      <c r="J21" s="8">
        <v>2.4811735000000001E-2</v>
      </c>
      <c r="K21" s="8">
        <v>-0.31738191999999998</v>
      </c>
      <c r="N21" s="14">
        <v>-1.0668240900000001</v>
      </c>
      <c r="O21" s="14">
        <v>-0.78531383399999988</v>
      </c>
      <c r="Q21" s="14">
        <v>-0.50269350530061574</v>
      </c>
      <c r="R21" s="14">
        <v>-0.37177866220619049</v>
      </c>
      <c r="T21" s="14">
        <v>-0.31476761434408129</v>
      </c>
      <c r="U21" s="14">
        <v>-0.12102454721307829</v>
      </c>
      <c r="W21" s="14">
        <v>-0.84336840664324453</v>
      </c>
      <c r="X21" s="14">
        <v>-0.82914983500272788</v>
      </c>
    </row>
    <row r="23" spans="9:24" x14ac:dyDescent="0.2">
      <c r="I23" s="9" t="s">
        <v>62</v>
      </c>
      <c r="K23" s="9" t="s">
        <v>62</v>
      </c>
      <c r="N23" s="9" t="s">
        <v>15</v>
      </c>
      <c r="O23" s="9"/>
    </row>
    <row r="24" spans="9:24" x14ac:dyDescent="0.2">
      <c r="I24" s="4">
        <v>-0.42542717000000002</v>
      </c>
      <c r="K24" s="4">
        <v>0.44298019999999999</v>
      </c>
      <c r="N24" s="19">
        <f t="shared" ref="N24:O26" si="3">TANH(N19)</f>
        <v>0.59702168656330246</v>
      </c>
      <c r="O24" s="19">
        <f t="shared" si="3"/>
        <v>0.98733574020680392</v>
      </c>
      <c r="P24" s="20"/>
      <c r="Q24" s="19">
        <f t="shared" ref="Q24:X24" si="4">TANH(Q19)</f>
        <v>0.74747492715389685</v>
      </c>
      <c r="R24" s="19">
        <f t="shared" si="4"/>
        <v>0.98889286311226698</v>
      </c>
      <c r="S24" s="20"/>
      <c r="T24" s="19">
        <f t="shared" si="4"/>
        <v>0.2069797447924186</v>
      </c>
      <c r="U24" s="19">
        <f t="shared" si="4"/>
        <v>0.93767409884575126</v>
      </c>
      <c r="V24" s="20"/>
      <c r="W24" s="19">
        <f t="shared" si="4"/>
        <v>-0.94924552092215564</v>
      </c>
      <c r="X24" s="19">
        <f t="shared" si="4"/>
        <v>-0.28935533383199491</v>
      </c>
    </row>
    <row r="25" spans="9:24" x14ac:dyDescent="0.2">
      <c r="I25" s="4">
        <v>-0.45248749999999999</v>
      </c>
      <c r="K25" s="4">
        <v>-0.35967500000000002</v>
      </c>
      <c r="N25" s="19">
        <f t="shared" si="3"/>
        <v>2.1762243525109404E-2</v>
      </c>
      <c r="O25" s="19">
        <f t="shared" ref="O25:X25" si="5">TANH(O20)</f>
        <v>0.78874291389282269</v>
      </c>
      <c r="P25" s="20"/>
      <c r="Q25" s="19">
        <f t="shared" si="5"/>
        <v>-0.36858254987587874</v>
      </c>
      <c r="R25" s="19">
        <f t="shared" si="5"/>
        <v>0.66444545594329663</v>
      </c>
      <c r="S25" s="20"/>
      <c r="T25" s="19">
        <f t="shared" si="5"/>
        <v>-0.67174814695189922</v>
      </c>
      <c r="U25" s="19">
        <f t="shared" si="5"/>
        <v>0.53843094883651643</v>
      </c>
      <c r="V25" s="20"/>
      <c r="W25" s="19">
        <f t="shared" si="5"/>
        <v>-0.93513241904863653</v>
      </c>
      <c r="X25" s="19">
        <f t="shared" si="5"/>
        <v>-0.44595405857219844</v>
      </c>
    </row>
    <row r="26" spans="9:24" x14ac:dyDescent="0.2">
      <c r="I26" s="4">
        <v>-0.41191080000000002</v>
      </c>
      <c r="K26" s="4">
        <v>-0.17579102999999999</v>
      </c>
      <c r="N26" s="19">
        <f t="shared" si="3"/>
        <v>-0.78826169024843407</v>
      </c>
      <c r="O26" s="19">
        <f t="shared" ref="O26:X26" si="6">TANH(O21)</f>
        <v>-0.65574613778691715</v>
      </c>
      <c r="P26" s="20"/>
      <c r="Q26" s="19">
        <f t="shared" si="6"/>
        <v>-0.46423281988402665</v>
      </c>
      <c r="R26" s="19">
        <f t="shared" si="6"/>
        <v>-0.35554650969730994</v>
      </c>
      <c r="S26" s="20"/>
      <c r="T26" s="19">
        <f t="shared" si="6"/>
        <v>-0.30476813848255885</v>
      </c>
      <c r="U26" s="19">
        <f t="shared" si="6"/>
        <v>-0.12043710884126756</v>
      </c>
      <c r="V26" s="20"/>
      <c r="W26" s="19">
        <f t="shared" si="6"/>
        <v>-0.68758907375906397</v>
      </c>
      <c r="X26" s="19">
        <f t="shared" si="6"/>
        <v>-0.68001924383799983</v>
      </c>
    </row>
    <row r="29" spans="9:24" x14ac:dyDescent="0.2">
      <c r="I29" s="9" t="s">
        <v>21</v>
      </c>
      <c r="N29" s="9" t="s">
        <v>17</v>
      </c>
      <c r="O29" s="9"/>
    </row>
    <row r="30" spans="9:24" x14ac:dyDescent="0.2">
      <c r="I30" s="11">
        <v>3</v>
      </c>
      <c r="J30" s="11">
        <v>0</v>
      </c>
      <c r="K30" s="11">
        <v>-1</v>
      </c>
      <c r="N30" s="5" cm="1">
        <f t="array" ref="N30:O30">MMULT($I$30:$K$30,N24:O26)+MMULT($I$34,1)</f>
        <v>5.5793267499383417</v>
      </c>
      <c r="O30" s="5">
        <v>6.6177533584073291</v>
      </c>
      <c r="Q30" s="5" cm="1">
        <f t="array" ref="Q30:R30">MMULT($I$30:$K$30,Q24:R26)+MMULT($I$34,1)</f>
        <v>5.7066576013457171</v>
      </c>
      <c r="R30" s="5">
        <v>6.3222250990341111</v>
      </c>
      <c r="T30" s="5" cm="1">
        <f t="array" ref="T30:U30">MMULT($I$30:$K$30,T24:U26)+MMULT($I$34,1)</f>
        <v>3.9257073728598146</v>
      </c>
      <c r="U30" s="5">
        <v>5.933459405378521</v>
      </c>
      <c r="W30" s="5" cm="1">
        <f t="array" ref="W30:X30">MMULT($I$30:$K$30,W24:X26)+MMULT($I$34,1)</f>
        <v>0.83985251099259717</v>
      </c>
      <c r="X30" s="5">
        <v>2.8119532423420153</v>
      </c>
    </row>
    <row r="33" spans="9:24" x14ac:dyDescent="0.2">
      <c r="I33" s="9" t="s">
        <v>22</v>
      </c>
      <c r="N33" s="10" t="s">
        <v>13</v>
      </c>
      <c r="O33" s="10"/>
    </row>
    <row r="34" spans="9:24" x14ac:dyDescent="0.2">
      <c r="I34" s="4">
        <v>3</v>
      </c>
      <c r="N34" s="6">
        <f>1/(1+EXP(-N30))</f>
        <v>0.99623909157497625</v>
      </c>
      <c r="O34" s="6">
        <f>1/(1+EXP(-O30))</f>
        <v>0.99866535360681541</v>
      </c>
      <c r="Q34" s="6">
        <f t="shared" ref="Q34:X34" si="7">1/(1+EXP(-Q30))</f>
        <v>0.99668724746367743</v>
      </c>
      <c r="R34" s="6">
        <f t="shared" si="7"/>
        <v>0.99820727672246345</v>
      </c>
      <c r="T34" s="6">
        <f t="shared" si="7"/>
        <v>0.98065349452195583</v>
      </c>
      <c r="U34" s="6">
        <f t="shared" si="7"/>
        <v>0.997357699139376</v>
      </c>
      <c r="W34" s="6">
        <f t="shared" si="7"/>
        <v>0.69843415220367056</v>
      </c>
      <c r="X34" s="6">
        <f t="shared" si="7"/>
        <v>0.9433183472777642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large</vt:lpstr>
      <vt:lpstr>small with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2025-09-15T17:39:06Z</dcterms:created>
  <dcterms:modified xsi:type="dcterms:W3CDTF">2025-09-15T22:10:20Z</dcterms:modified>
</cp:coreProperties>
</file>