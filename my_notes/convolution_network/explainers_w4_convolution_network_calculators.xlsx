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is/Documents/sckool/notes-deep-learning/MyMaterial/convolution_network/"/>
    </mc:Choice>
  </mc:AlternateContent>
  <xr:revisionPtr revIDLastSave="0" documentId="8_{FE1893B4-DDB2-6B43-8543-E656F10E817B}" xr6:coauthVersionLast="47" xr6:coauthVersionMax="47" xr10:uidLastSave="{00000000-0000-0000-0000-000000000000}"/>
  <bookViews>
    <workbookView xWindow="0" yWindow="500" windowWidth="28800" windowHeight="16080" xr2:uid="{75034939-A31E-F549-AC2B-5E08C62FCC9D}"/>
  </bookViews>
  <sheets>
    <sheet name="Sheet1" sheetId="1" r:id="rId1"/>
  </sheets>
  <definedNames>
    <definedName name="c0">Sheet1!$B$5</definedName>
    <definedName name="cnl">Sheet1!$B$6</definedName>
    <definedName name="fh">Sheet1!$B$3</definedName>
    <definedName name="fw">Sheet1!$B$4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35" i="1"/>
  <c r="E24" i="1"/>
  <c r="E23" i="1"/>
  <c r="E13" i="1"/>
  <c r="E12" i="1"/>
  <c r="B19" i="1" s="1"/>
  <c r="B29" i="1" l="1"/>
</calcChain>
</file>

<file path=xl/sharedStrings.xml><?xml version="1.0" encoding="utf-8"?>
<sst xmlns="http://schemas.openxmlformats.org/spreadsheetml/2006/main" count="28" uniqueCount="18">
  <si>
    <t>Bias</t>
  </si>
  <si>
    <t>Filter_Height</t>
  </si>
  <si>
    <t>Filter_Width</t>
  </si>
  <si>
    <t>Channels_Previous_Layer</t>
  </si>
  <si>
    <t>Channels_Next_Layer (i.e. # of filters)</t>
  </si>
  <si>
    <t>Channels</t>
  </si>
  <si>
    <t>Input_Height</t>
  </si>
  <si>
    <t>Input_Width</t>
  </si>
  <si>
    <t>Stide</t>
  </si>
  <si>
    <t>Pad</t>
  </si>
  <si>
    <t>CONV NUM OF PARAMETERS</t>
  </si>
  <si>
    <t>Output_Height</t>
  </si>
  <si>
    <t>Output_Width</t>
  </si>
  <si>
    <t>PADDING SIZE FOR "SAME"</t>
  </si>
  <si>
    <t>Number_of_Filters</t>
  </si>
  <si>
    <t>Filter_Size</t>
  </si>
  <si>
    <t>VOLUME SIZE AFTER CONV - "(n+2p-f)/s +1" x "(n+2p-f)/s+1"</t>
  </si>
  <si>
    <t>VOLUME SIZE AFTER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</si>
</sst>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/>
    <xf numFmtId="0" fontId="0" fillId="2" borderId="0" xfId="0" applyFill="1" applyAlignmen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6C2B-4C17-C847-86F6-17517FDCB8CF}">
  <dimension ref="B2:F35"/>
  <sheetViews>
    <sheetView tabSelected="1" topLeftCell="A2" workbookViewId="0">
      <selection activeCell="B28" sqref="B28"/>
    </sheetView>
  </sheetViews>
  <sheetFormatPr baseColWidth="10" defaultRowHeight="16" x14ac:dyDescent="0.2"/>
  <sheetData>
    <row r="2" spans="2:6" x14ac:dyDescent="0.2">
      <c r="B2" s="1" t="s">
        <v>10</v>
      </c>
      <c r="C2" s="2"/>
      <c r="D2" s="2"/>
      <c r="E2" s="2"/>
      <c r="F2" s="2"/>
    </row>
    <row r="3" spans="2:6" x14ac:dyDescent="0.2">
      <c r="B3" s="5">
        <v>7</v>
      </c>
      <c r="C3" s="6" t="s">
        <v>1</v>
      </c>
      <c r="D3" s="7"/>
      <c r="E3" s="7"/>
      <c r="F3" s="7"/>
    </row>
    <row r="4" spans="2:6" x14ac:dyDescent="0.2">
      <c r="B4" s="5">
        <v>7</v>
      </c>
      <c r="C4" s="6" t="s">
        <v>2</v>
      </c>
      <c r="D4" s="7"/>
      <c r="E4" s="7"/>
      <c r="F4" s="7"/>
    </row>
    <row r="5" spans="2:6" x14ac:dyDescent="0.2">
      <c r="B5" s="5">
        <v>3</v>
      </c>
      <c r="C5" s="6" t="s">
        <v>3</v>
      </c>
      <c r="D5" s="7"/>
      <c r="E5" s="7"/>
      <c r="F5" s="7"/>
    </row>
    <row r="6" spans="2:6" x14ac:dyDescent="0.2">
      <c r="B6" s="5">
        <v>128</v>
      </c>
      <c r="C6" s="6" t="s">
        <v>4</v>
      </c>
      <c r="D6" s="7"/>
      <c r="E6" s="7"/>
      <c r="F6" s="7"/>
    </row>
    <row r="7" spans="2:6" ht="17" thickBot="1" x14ac:dyDescent="0.25">
      <c r="B7" s="5">
        <v>1</v>
      </c>
      <c r="C7" s="6" t="s">
        <v>0</v>
      </c>
      <c r="D7" s="7"/>
      <c r="E7" s="7"/>
      <c r="F7" s="7"/>
    </row>
    <row r="8" spans="2:6" ht="17" thickBot="1" x14ac:dyDescent="0.25">
      <c r="B8" s="8">
        <f>(fh*fw*c0+B7)*cnl</f>
        <v>18944</v>
      </c>
      <c r="C8" s="5"/>
      <c r="D8" s="7"/>
      <c r="E8" s="7"/>
      <c r="F8" s="7"/>
    </row>
    <row r="11" spans="2:6" x14ac:dyDescent="0.2">
      <c r="B11" s="3" t="s">
        <v>16</v>
      </c>
      <c r="C11" s="4"/>
      <c r="D11" s="4"/>
      <c r="E11" s="2"/>
      <c r="F11" s="2"/>
    </row>
    <row r="12" spans="2:6" x14ac:dyDescent="0.2">
      <c r="B12" s="5">
        <v>121</v>
      </c>
      <c r="C12" s="9" t="s">
        <v>6</v>
      </c>
      <c r="D12" s="5"/>
      <c r="E12" s="5">
        <f>(B12+2*B16-B15)/B17+1</f>
        <v>40</v>
      </c>
      <c r="F12" s="7" t="s">
        <v>11</v>
      </c>
    </row>
    <row r="13" spans="2:6" x14ac:dyDescent="0.2">
      <c r="B13" s="5">
        <v>121</v>
      </c>
      <c r="C13" s="9" t="s">
        <v>7</v>
      </c>
      <c r="D13" s="5"/>
      <c r="E13" s="5">
        <f>(B13+2*B16-B15)/B17+1</f>
        <v>40</v>
      </c>
      <c r="F13" s="7" t="s">
        <v>12</v>
      </c>
    </row>
    <row r="14" spans="2:6" x14ac:dyDescent="0.2">
      <c r="B14" s="5">
        <v>16</v>
      </c>
      <c r="C14" s="9" t="s">
        <v>5</v>
      </c>
      <c r="D14" s="9"/>
      <c r="E14" s="7"/>
      <c r="F14" s="7"/>
    </row>
    <row r="15" spans="2:6" x14ac:dyDescent="0.2">
      <c r="B15" s="5">
        <v>4</v>
      </c>
      <c r="C15" s="9" t="s">
        <v>15</v>
      </c>
      <c r="D15" s="9"/>
      <c r="E15" s="7"/>
      <c r="F15" s="7"/>
    </row>
    <row r="16" spans="2:6" x14ac:dyDescent="0.2">
      <c r="B16" s="5">
        <v>0</v>
      </c>
      <c r="C16" s="9" t="s">
        <v>9</v>
      </c>
      <c r="D16" s="9"/>
      <c r="E16" s="7"/>
      <c r="F16" s="7"/>
    </row>
    <row r="17" spans="2:6" x14ac:dyDescent="0.2">
      <c r="B17" s="5">
        <v>3</v>
      </c>
      <c r="C17" s="9" t="s">
        <v>8</v>
      </c>
      <c r="D17" s="9"/>
      <c r="E17" s="7"/>
      <c r="F17" s="7"/>
    </row>
    <row r="18" spans="2:6" ht="17" thickBot="1" x14ac:dyDescent="0.25">
      <c r="B18" s="5">
        <v>32</v>
      </c>
      <c r="C18" s="9" t="s">
        <v>14</v>
      </c>
      <c r="D18" s="9"/>
      <c r="E18" s="7"/>
      <c r="F18" s="7"/>
    </row>
    <row r="19" spans="2:6" ht="17" thickBot="1" x14ac:dyDescent="0.25">
      <c r="B19" s="8" t="str">
        <f>E12&amp;"x"&amp;E13&amp;"x"&amp;B18</f>
        <v>40x40x32</v>
      </c>
      <c r="C19" s="9"/>
      <c r="D19" s="9"/>
      <c r="E19" s="7"/>
      <c r="F19" s="7"/>
    </row>
    <row r="22" spans="2:6" x14ac:dyDescent="0.2">
      <c r="B22" s="1" t="s">
        <v>17</v>
      </c>
      <c r="C22" s="2"/>
      <c r="D22" s="2"/>
      <c r="E22" s="2"/>
      <c r="F22" s="2"/>
    </row>
    <row r="23" spans="2:6" x14ac:dyDescent="0.2">
      <c r="B23" s="5">
        <v>66</v>
      </c>
      <c r="C23" s="9" t="s">
        <v>6</v>
      </c>
      <c r="D23" s="7"/>
      <c r="E23" s="5">
        <f>(B23+2*B27-B26)/B28+1</f>
        <v>22</v>
      </c>
      <c r="F23" s="7" t="s">
        <v>11</v>
      </c>
    </row>
    <row r="24" spans="2:6" x14ac:dyDescent="0.2">
      <c r="B24" s="5">
        <v>66</v>
      </c>
      <c r="C24" s="9" t="s">
        <v>7</v>
      </c>
      <c r="D24" s="7"/>
      <c r="E24" s="5">
        <f>(B24+2*B27-B26)/B28+1</f>
        <v>22</v>
      </c>
      <c r="F24" s="7" t="s">
        <v>12</v>
      </c>
    </row>
    <row r="25" spans="2:6" x14ac:dyDescent="0.2">
      <c r="B25" s="5">
        <v>21</v>
      </c>
      <c r="C25" s="9" t="s">
        <v>5</v>
      </c>
      <c r="D25" s="7"/>
      <c r="E25" s="7"/>
      <c r="F25" s="7"/>
    </row>
    <row r="26" spans="2:6" x14ac:dyDescent="0.2">
      <c r="B26" s="5">
        <v>3</v>
      </c>
      <c r="C26" s="9" t="s">
        <v>15</v>
      </c>
      <c r="D26" s="7"/>
      <c r="E26" s="7"/>
      <c r="F26" s="7"/>
    </row>
    <row r="27" spans="2:6" x14ac:dyDescent="0.2">
      <c r="B27" s="5">
        <v>0</v>
      </c>
      <c r="C27" s="9" t="s">
        <v>9</v>
      </c>
      <c r="D27" s="7"/>
      <c r="E27" s="7"/>
      <c r="F27" s="7"/>
    </row>
    <row r="28" spans="2:6" ht="17" thickBot="1" x14ac:dyDescent="0.25">
      <c r="B28" s="5">
        <v>3</v>
      </c>
      <c r="C28" s="9" t="s">
        <v>8</v>
      </c>
      <c r="D28" s="7"/>
      <c r="E28" s="7"/>
      <c r="F28" s="7"/>
    </row>
    <row r="29" spans="2:6" ht="17" thickBot="1" x14ac:dyDescent="0.25">
      <c r="B29" s="8" t="str">
        <f>E23&amp;"x"&amp;E24&amp;"x"&amp;B25</f>
        <v>22x22x21</v>
      </c>
      <c r="C29" s="9"/>
      <c r="D29" s="7"/>
      <c r="E29" s="7"/>
      <c r="F29" s="7"/>
    </row>
    <row r="32" spans="2:6" x14ac:dyDescent="0.2">
      <c r="B32" s="1" t="s">
        <v>13</v>
      </c>
      <c r="C32" s="2"/>
      <c r="D32" s="2"/>
      <c r="E32" s="2"/>
      <c r="F32" s="2"/>
    </row>
    <row r="33" spans="2:6" x14ac:dyDescent="0.2">
      <c r="B33" s="5">
        <v>9</v>
      </c>
      <c r="C33" s="9" t="s">
        <v>15</v>
      </c>
      <c r="D33" s="7"/>
      <c r="E33" s="7"/>
      <c r="F33" s="7"/>
    </row>
    <row r="34" spans="2:6" ht="17" thickBot="1" x14ac:dyDescent="0.25">
      <c r="B34" s="5">
        <v>1</v>
      </c>
      <c r="C34" s="9" t="s">
        <v>8</v>
      </c>
      <c r="D34" s="7"/>
      <c r="E34" s="7"/>
      <c r="F34" s="7"/>
    </row>
    <row r="35" spans="2:6" ht="17" thickBot="1" x14ac:dyDescent="0.25">
      <c r="B35" s="8">
        <f>(B33-1)/2</f>
        <v>4</v>
      </c>
      <c r="C35" s="7"/>
      <c r="D35" s="7"/>
      <c r="E35" s="7"/>
      <c r="F35" s="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c0</vt:lpstr>
      <vt:lpstr>cnl</vt:lpstr>
      <vt:lpstr>fh</vt:lpstr>
      <vt:lpstr>fw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Fessas</dc:creator>
  <cp:lastModifiedBy>Takis Fessas</cp:lastModifiedBy>
  <dcterms:created xsi:type="dcterms:W3CDTF">2025-09-04T13:01:44Z</dcterms:created>
  <dcterms:modified xsi:type="dcterms:W3CDTF">2025-09-04T14:08:21Z</dcterms:modified>
</cp:coreProperties>
</file>