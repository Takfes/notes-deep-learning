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MyMaterial/neural_networks/"/>
    </mc:Choice>
  </mc:AlternateContent>
  <xr:revisionPtr revIDLastSave="0" documentId="13_ncr:1_{EBC2A28C-FF4A-BB4E-B4D5-FA590BF7D110}" xr6:coauthVersionLast="47" xr6:coauthVersionMax="47" xr10:uidLastSave="{00000000-0000-0000-0000-000000000000}"/>
  <bookViews>
    <workbookView xWindow="380" yWindow="500" windowWidth="28040" windowHeight="16080" activeTab="1" xr2:uid="{FB0357A1-D131-4E4A-8F48-FC675AED6B5B}"/>
  </bookViews>
  <sheets>
    <sheet name="example" sheetId="1" r:id="rId1"/>
    <sheet name="shape calculator" sheetId="2" r:id="rId2"/>
  </sheets>
  <definedNames>
    <definedName name="_m">'shape calculator'!$B$4</definedName>
    <definedName name="_n0">'shape calculator'!$C$4</definedName>
    <definedName name="_n1">'shape calculator'!$D$4</definedName>
    <definedName name="_n2">'shape calculator'!$E$4</definedName>
    <definedName name="_n3">'shape calculator'!$F$4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D24" i="2"/>
  <c r="D34" i="2"/>
  <c r="D32" i="2"/>
  <c r="D31" i="2"/>
  <c r="D30" i="2"/>
  <c r="D28" i="2"/>
  <c r="D27" i="2"/>
  <c r="D26" i="2"/>
  <c r="D23" i="2"/>
  <c r="D22" i="2"/>
  <c r="D20" i="2"/>
  <c r="H26" i="1"/>
  <c r="F27" i="1"/>
  <c r="F26" i="1"/>
  <c r="P24" i="1"/>
  <c r="O24" i="1"/>
  <c r="N24" i="1"/>
  <c r="P21" i="1"/>
  <c r="O21" i="1"/>
  <c r="N21" i="1"/>
  <c r="N18" i="1" a="1"/>
  <c r="N18" i="1" s="1"/>
  <c r="B18" i="1" a="1"/>
  <c r="I30" i="2" l="1"/>
  <c r="I32" i="2"/>
  <c r="I31" i="2"/>
  <c r="B18" i="1"/>
  <c r="B23" i="1" s="1" a="1"/>
  <c r="C26" i="1" l="1"/>
  <c r="G8" i="1" s="1"/>
  <c r="D26" i="1"/>
  <c r="H8" i="1" s="1"/>
  <c r="B23" i="1"/>
  <c r="B26" i="1" s="1"/>
  <c r="F8" i="1" s="1"/>
  <c r="F11" i="1" l="1" a="1"/>
  <c r="F11" i="1" s="1"/>
  <c r="F20" i="1"/>
  <c r="F16" i="1" l="1" a="1"/>
  <c r="F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<sst xmlns="http://schemas.openxmlformats.org/spreadsheetml/2006/main" count="98" uniqueCount="78">
  <si>
    <t>X</t>
  </si>
  <si>
    <t>b</t>
  </si>
  <si>
    <t>A</t>
  </si>
  <si>
    <t>w</t>
  </si>
  <si>
    <t>(nx,m)</t>
  </si>
  <si>
    <t>(nx,output)</t>
  </si>
  <si>
    <t>w.T</t>
  </si>
  <si>
    <t>(output,nx)</t>
  </si>
  <si>
    <t>OUTPUT</t>
  </si>
  <si>
    <t>Neuron1</t>
  </si>
  <si>
    <t>Neuron2</t>
  </si>
  <si>
    <t>Z</t>
  </si>
  <si>
    <t>=sigmoid(Z)</t>
  </si>
  <si>
    <t>=w.T@X + b</t>
  </si>
  <si>
    <t>(features, samples)</t>
  </si>
  <si>
    <t>Neuron3</t>
  </si>
  <si>
    <t>Y</t>
  </si>
  <si>
    <t>dz</t>
  </si>
  <si>
    <t>=A-Y</t>
  </si>
  <si>
    <t>dz.T</t>
  </si>
  <si>
    <t>(3,1)</t>
  </si>
  <si>
    <t>dw</t>
  </si>
  <si>
    <t>=1/m*X@dz.T</t>
  </si>
  <si>
    <t>m</t>
  </si>
  <si>
    <t>m=</t>
  </si>
  <si>
    <t>db</t>
  </si>
  <si>
    <t>=1/m*np.sum(dz)</t>
  </si>
  <si>
    <t># (2,3)@(3,1)=(2,1)</t>
  </si>
  <si>
    <t># (1,3)</t>
  </si>
  <si>
    <t># (2,3)</t>
  </si>
  <si>
    <t># (2,1)</t>
  </si>
  <si>
    <t># (1,2)</t>
  </si>
  <si>
    <t># (1,2)@(2,3)=(1,3)</t>
  </si>
  <si>
    <t># (1,3) same as Z</t>
  </si>
  <si>
    <t># 1</t>
  </si>
  <si>
    <t>a=</t>
  </si>
  <si>
    <t>INPUT</t>
  </si>
  <si>
    <t>NETWORK</t>
  </si>
  <si>
    <t>FORWARD</t>
  </si>
  <si>
    <t>BACKWARD</t>
  </si>
  <si>
    <t>UPDATES</t>
  </si>
  <si>
    <t>obs1</t>
  </si>
  <si>
    <t>obs2</t>
  </si>
  <si>
    <t>obs3</t>
  </si>
  <si>
    <t>↓</t>
  </si>
  <si>
    <t>→</t>
  </si>
  <si>
    <t>= (output, input) = (1,2)</t>
  </si>
  <si>
    <t>= (input,output) = (2,1)</t>
  </si>
  <si>
    <t>w.T "takes in shape[1] and outputs shape[0]"</t>
  </si>
  <si>
    <t>NN ARCHITECTURE</t>
  </si>
  <si>
    <t>Layer0-input</t>
  </si>
  <si>
    <t>Layer1-output</t>
  </si>
  <si>
    <t>Weights</t>
  </si>
  <si>
    <t>n0</t>
  </si>
  <si>
    <t>n1</t>
  </si>
  <si>
    <t>n2</t>
  </si>
  <si>
    <t>n3</t>
  </si>
  <si>
    <t>(n0,m)</t>
  </si>
  <si>
    <t>(n2,n1)</t>
  </si>
  <si>
    <t>(n1,n0)</t>
  </si>
  <si>
    <t>(n1,1)</t>
  </si>
  <si>
    <t>(n2,1)</t>
  </si>
  <si>
    <t>(n3,1)</t>
  </si>
  <si>
    <t>(n1,m)</t>
  </si>
  <si>
    <t>(n2,m)</t>
  </si>
  <si>
    <t>(n3,m)</t>
  </si>
  <si>
    <t>(n3,n2)</t>
  </si>
  <si>
    <t>no gradients</t>
  </si>
  <si>
    <t>https://www.youtube.com/watch?v=URJ9pP1aURo&amp;list=PLCip3d1iHEMVRHP8cmXSFmhFVtfmxdLcC&amp;index=7</t>
  </si>
  <si>
    <t>W1,dw1</t>
  </si>
  <si>
    <t>W2,dw2</t>
  </si>
  <si>
    <t>W3,dw3</t>
  </si>
  <si>
    <t>B1,db1</t>
  </si>
  <si>
    <t>B2,db2</t>
  </si>
  <si>
    <t>B3,db3</t>
  </si>
  <si>
    <t>Z1,dz1,A1,da1</t>
  </si>
  <si>
    <t>Z2,dz2,A2,da2</t>
  </si>
  <si>
    <t>Z3,dz3,A3,da3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</si>
</sst>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.00000"/>
    <numFmt numFmtId="175" formatCode="0.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0E4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E9F4"/>
        <bgColor indexed="64"/>
      </patternFill>
    </fill>
    <fill>
      <patternFill patternType="solid">
        <fgColor rgb="FFCCEABB"/>
        <bgColor indexed="64"/>
      </patternFill>
    </fill>
    <fill>
      <patternFill patternType="solid">
        <fgColor rgb="FFFFC4BB"/>
        <bgColor indexed="64"/>
      </patternFill>
    </fill>
    <fill>
      <patternFill patternType="solid">
        <fgColor rgb="FFFFEF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8FFE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quotePrefix="1" applyAlignment="1">
      <alignment horizontal="center" vertical="center"/>
    </xf>
    <xf numFmtId="16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quotePrefix="1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quotePrefix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1" xfId="0" applyFill="1" applyBorder="1" applyAlignment="1">
      <alignment horizontal="center"/>
    </xf>
    <xf numFmtId="169" fontId="0" fillId="7" borderId="1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quotePrefix="1" applyFill="1" applyAlignment="1">
      <alignment horizontal="center"/>
    </xf>
    <xf numFmtId="0" fontId="0" fillId="9" borderId="0" xfId="0" quotePrefix="1" applyFill="1" applyAlignment="1">
      <alignment horizontal="left"/>
    </xf>
    <xf numFmtId="0" fontId="0" fillId="10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0" xfId="0" quotePrefix="1" applyBorder="1"/>
    <xf numFmtId="0" fontId="0" fillId="7" borderId="0" xfId="0" applyFill="1" applyBorder="1" applyAlignment="1">
      <alignment horizontal="center"/>
    </xf>
    <xf numFmtId="175" fontId="0" fillId="9" borderId="1" xfId="0" applyNumberFormat="1" applyFill="1" applyBorder="1" applyAlignment="1">
      <alignment horizontal="center"/>
    </xf>
    <xf numFmtId="175" fontId="0" fillId="9" borderId="0" xfId="0" applyNumberFormat="1" applyFill="1" applyAlignment="1">
      <alignment horizontal="center"/>
    </xf>
    <xf numFmtId="175" fontId="1" fillId="9" borderId="0" xfId="0" applyNumberFormat="1" applyFont="1" applyFill="1" applyAlignment="1">
      <alignment horizontal="center"/>
    </xf>
    <xf numFmtId="175" fontId="0" fillId="10" borderId="1" xfId="0" applyNumberFormat="1" applyFill="1" applyBorder="1" applyAlignment="1">
      <alignment horizontal="center"/>
    </xf>
    <xf numFmtId="175" fontId="0" fillId="10" borderId="0" xfId="0" applyNumberFormat="1" applyFill="1" applyAlignment="1">
      <alignment horizontal="center"/>
    </xf>
    <xf numFmtId="175" fontId="0" fillId="9" borderId="0" xfId="0" applyNumberFormat="1" applyFill="1" applyBorder="1" applyAlignment="1">
      <alignment horizontal="center"/>
    </xf>
    <xf numFmtId="175" fontId="0" fillId="7" borderId="0" xfId="0" applyNumberForma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 applyBorder="1" applyAlignment="1">
      <alignment horizontal="center"/>
    </xf>
    <xf numFmtId="0" fontId="1" fillId="12" borderId="0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1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FFE4"/>
      <color rgb="FFFFEFBA"/>
      <color rgb="FFFFC4BB"/>
      <color rgb="FFCCEABB"/>
      <color rgb="FFC9E9F4"/>
      <color rgb="FFDEFFE5"/>
      <color rgb="FFCCFFFC"/>
      <color rgb="FF96FFF7"/>
      <color rgb="FFF0E4FF"/>
      <color rgb="FFF9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12700</xdr:colOff>
      <xdr:row>18</xdr:row>
      <xdr:rowOff>7282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F32D8D-73B7-D449-8AC0-91DB33CC6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016000"/>
          <a:ext cx="6858000" cy="26488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5302-F382-E44E-94EE-95B33EB89C1F}">
  <dimension ref="B2:P34"/>
  <sheetViews>
    <sheetView showGridLines="0" workbookViewId="0">
      <selection activeCell="H26" sqref="H26"/>
    </sheetView>
  </sheetViews>
  <sheetFormatPr baseColWidth="10" defaultRowHeight="16" x14ac:dyDescent="0.2"/>
  <cols>
    <col min="2" max="4" width="15.83203125" style="1" customWidth="1"/>
    <col min="6" max="8" width="15.83203125" style="1" customWidth="1"/>
    <col min="9" max="9" width="10.83203125" style="1"/>
    <col min="10" max="12" width="10.83203125" style="2"/>
    <col min="13" max="13" width="5.83203125" style="9" customWidth="1"/>
    <col min="14" max="16" width="19.83203125" style="2" customWidth="1"/>
  </cols>
  <sheetData>
    <row r="2" spans="2:16" x14ac:dyDescent="0.2">
      <c r="B2" s="50" t="s">
        <v>36</v>
      </c>
      <c r="C2" s="51"/>
      <c r="D2" s="51"/>
      <c r="F2" s="50" t="s">
        <v>8</v>
      </c>
      <c r="G2" s="51"/>
      <c r="H2" s="51"/>
      <c r="J2" s="53" t="s">
        <v>49</v>
      </c>
      <c r="K2" s="52"/>
      <c r="L2" s="52"/>
    </row>
    <row r="3" spans="2:16" x14ac:dyDescent="0.2">
      <c r="B3" s="32" t="s">
        <v>24</v>
      </c>
      <c r="C3" s="12">
        <v>3</v>
      </c>
      <c r="D3" s="11"/>
      <c r="F3" s="34" t="s">
        <v>16</v>
      </c>
      <c r="G3" s="19"/>
      <c r="H3" s="19" t="s">
        <v>28</v>
      </c>
      <c r="J3" s="2" t="s">
        <v>0</v>
      </c>
      <c r="K3" s="8" t="s">
        <v>14</v>
      </c>
    </row>
    <row r="4" spans="2:16" x14ac:dyDescent="0.2">
      <c r="B4" s="11"/>
      <c r="C4" s="11"/>
      <c r="D4" s="11"/>
      <c r="F4" s="20">
        <v>1</v>
      </c>
      <c r="G4" s="20">
        <v>1</v>
      </c>
      <c r="H4" s="20">
        <v>0</v>
      </c>
    </row>
    <row r="5" spans="2:16" x14ac:dyDescent="0.2">
      <c r="B5" s="30" t="s">
        <v>0</v>
      </c>
      <c r="C5" s="11" t="s">
        <v>4</v>
      </c>
      <c r="D5" s="11" t="s">
        <v>29</v>
      </c>
      <c r="F5" s="19"/>
      <c r="G5" s="19"/>
      <c r="H5" s="19"/>
      <c r="J5" s="25" t="s">
        <v>41</v>
      </c>
      <c r="K5" s="26" t="s">
        <v>42</v>
      </c>
      <c r="L5" s="27" t="s">
        <v>43</v>
      </c>
      <c r="N5" s="2" t="s">
        <v>50</v>
      </c>
      <c r="O5" s="2" t="s">
        <v>52</v>
      </c>
      <c r="P5" s="2" t="s">
        <v>51</v>
      </c>
    </row>
    <row r="6" spans="2:16" x14ac:dyDescent="0.2">
      <c r="B6" s="13">
        <v>1</v>
      </c>
      <c r="C6" s="13">
        <v>-2</v>
      </c>
      <c r="D6" s="13">
        <v>-1</v>
      </c>
      <c r="F6" s="50" t="s">
        <v>39</v>
      </c>
      <c r="G6" s="51"/>
      <c r="H6" s="51"/>
      <c r="I6" s="2"/>
      <c r="J6" s="25">
        <v>1</v>
      </c>
      <c r="K6" s="26">
        <v>-2</v>
      </c>
      <c r="L6" s="27">
        <v>-1</v>
      </c>
      <c r="N6" s="10" t="s">
        <v>9</v>
      </c>
      <c r="O6" s="5" t="s">
        <v>3</v>
      </c>
      <c r="P6" s="10" t="s">
        <v>15</v>
      </c>
    </row>
    <row r="7" spans="2:16" x14ac:dyDescent="0.2">
      <c r="B7" s="13">
        <v>3</v>
      </c>
      <c r="C7" s="13">
        <v>0.5</v>
      </c>
      <c r="D7" s="13">
        <v>-3.2</v>
      </c>
      <c r="F7" s="35" t="s">
        <v>17</v>
      </c>
      <c r="G7" s="22" t="s">
        <v>18</v>
      </c>
      <c r="H7" s="21" t="s">
        <v>28</v>
      </c>
      <c r="J7" s="25">
        <v>3</v>
      </c>
      <c r="K7" s="26">
        <v>0.5</v>
      </c>
      <c r="L7" s="27">
        <v>-3.2</v>
      </c>
      <c r="N7" s="10" t="s">
        <v>10</v>
      </c>
      <c r="O7" s="39" t="s">
        <v>47</v>
      </c>
    </row>
    <row r="8" spans="2:16" x14ac:dyDescent="0.2">
      <c r="B8" s="11"/>
      <c r="C8" s="11"/>
      <c r="D8" s="11"/>
      <c r="F8" s="43">
        <f>B26-F4</f>
        <v>-2.0342697805519894E-4</v>
      </c>
      <c r="G8" s="43">
        <f>C26-G4</f>
        <v>-0.37754066879814541</v>
      </c>
      <c r="H8" s="43">
        <f>D26-H4</f>
        <v>2.7319607630110591E-3</v>
      </c>
      <c r="O8" s="2" t="s">
        <v>44</v>
      </c>
    </row>
    <row r="9" spans="2:16" x14ac:dyDescent="0.2">
      <c r="B9" s="50" t="s">
        <v>37</v>
      </c>
      <c r="C9" s="51"/>
      <c r="D9" s="51"/>
      <c r="F9" s="21"/>
      <c r="G9" s="21"/>
      <c r="H9" s="21"/>
      <c r="I9" s="7"/>
      <c r="O9" s="5" t="s">
        <v>6</v>
      </c>
    </row>
    <row r="10" spans="2:16" x14ac:dyDescent="0.2">
      <c r="B10" s="31" t="s">
        <v>1</v>
      </c>
      <c r="C10" s="28"/>
      <c r="D10" s="28"/>
      <c r="F10" s="35" t="s">
        <v>19</v>
      </c>
      <c r="G10" s="21"/>
      <c r="H10" s="21" t="s">
        <v>20</v>
      </c>
      <c r="J10" s="2" t="s">
        <v>3</v>
      </c>
      <c r="K10" s="37"/>
      <c r="L10" s="38"/>
      <c r="O10" s="39" t="s">
        <v>46</v>
      </c>
    </row>
    <row r="11" spans="2:16" x14ac:dyDescent="0.2">
      <c r="B11" s="29">
        <v>1.5</v>
      </c>
      <c r="C11" s="28"/>
      <c r="D11" s="28"/>
      <c r="F11" s="43" cm="1">
        <f t="array" ref="F11:F13">TRANSPOSE(F8:H8)</f>
        <v>-2.0342697805519894E-4</v>
      </c>
      <c r="G11" s="21"/>
      <c r="H11" s="21"/>
      <c r="K11" s="37"/>
      <c r="L11" s="40"/>
      <c r="M11" s="41"/>
      <c r="N11" s="3"/>
      <c r="O11" s="1"/>
      <c r="P11" s="1"/>
    </row>
    <row r="12" spans="2:16" x14ac:dyDescent="0.2">
      <c r="B12" s="28"/>
      <c r="C12" s="28"/>
      <c r="D12" s="28"/>
      <c r="F12" s="43">
        <v>-0.37754066879814541</v>
      </c>
      <c r="G12" s="21"/>
      <c r="H12" s="21"/>
      <c r="N12" s="1"/>
      <c r="O12" s="1"/>
      <c r="P12" s="1"/>
    </row>
    <row r="13" spans="2:16" x14ac:dyDescent="0.2">
      <c r="B13" s="31" t="s">
        <v>3</v>
      </c>
      <c r="C13" s="28" t="s">
        <v>5</v>
      </c>
      <c r="D13" s="28" t="s">
        <v>30</v>
      </c>
      <c r="F13" s="43">
        <v>2.7319607630110591E-3</v>
      </c>
      <c r="G13" s="21"/>
      <c r="H13" s="21"/>
      <c r="J13" s="2" t="s">
        <v>0</v>
      </c>
      <c r="N13" s="1" t="s">
        <v>6</v>
      </c>
      <c r="O13" s="4" t="s">
        <v>48</v>
      </c>
      <c r="P13" s="1"/>
    </row>
    <row r="14" spans="2:16" x14ac:dyDescent="0.2">
      <c r="B14" s="29">
        <v>1</v>
      </c>
      <c r="C14" s="28"/>
      <c r="D14" s="28"/>
      <c r="F14" s="44"/>
      <c r="G14" s="21"/>
      <c r="H14" s="21"/>
      <c r="J14" s="25">
        <v>1</v>
      </c>
      <c r="K14" s="26">
        <v>-2</v>
      </c>
      <c r="L14" s="27">
        <v>-1</v>
      </c>
      <c r="M14" s="2" t="s">
        <v>45</v>
      </c>
      <c r="N14" s="37">
        <v>1</v>
      </c>
      <c r="O14" s="37">
        <v>2</v>
      </c>
    </row>
    <row r="15" spans="2:16" x14ac:dyDescent="0.2">
      <c r="B15" s="29">
        <v>2</v>
      </c>
      <c r="C15" s="28"/>
      <c r="D15" s="28"/>
      <c r="F15" s="45" t="s">
        <v>21</v>
      </c>
      <c r="G15" s="23" t="s">
        <v>22</v>
      </c>
      <c r="H15" s="23" t="s">
        <v>27</v>
      </c>
      <c r="J15" s="25">
        <v>3</v>
      </c>
      <c r="K15" s="26">
        <v>0.5</v>
      </c>
      <c r="L15" s="27">
        <v>-3.2</v>
      </c>
      <c r="M15" s="2" t="s">
        <v>45</v>
      </c>
      <c r="N15" s="37"/>
      <c r="O15" s="37"/>
    </row>
    <row r="16" spans="2:16" x14ac:dyDescent="0.2">
      <c r="B16" s="28"/>
      <c r="C16" s="28"/>
      <c r="D16" s="28"/>
      <c r="F16" s="43" cm="1">
        <f t="array" ref="F16:F17">MMULT(B6:D7,_xlfn.ANCHORARRAY(F11))/C3</f>
        <v>0.25071531661840818</v>
      </c>
      <c r="G16" s="21"/>
      <c r="H16" s="21"/>
      <c r="N16" s="2" t="s">
        <v>44</v>
      </c>
    </row>
    <row r="17" spans="2:16" x14ac:dyDescent="0.2">
      <c r="B17" s="31" t="s">
        <v>6</v>
      </c>
      <c r="C17" s="28" t="s">
        <v>7</v>
      </c>
      <c r="D17" s="28" t="s">
        <v>31</v>
      </c>
      <c r="F17" s="43">
        <v>-6.604096325829123E-2</v>
      </c>
      <c r="G17" s="21"/>
      <c r="H17" s="21"/>
      <c r="N17" s="2" t="s">
        <v>11</v>
      </c>
    </row>
    <row r="18" spans="2:16" x14ac:dyDescent="0.2">
      <c r="B18" s="29" cm="1">
        <f t="array" ref="B18:C18">TRANSPOSE(B14:B15)</f>
        <v>1</v>
      </c>
      <c r="C18" s="29">
        <v>2</v>
      </c>
      <c r="D18" s="28"/>
      <c r="F18" s="44"/>
      <c r="G18" s="21"/>
      <c r="H18" s="21"/>
      <c r="N18" s="42" cm="1">
        <f t="array" ref="N18:P18">MMULT(_xlfn.ANCHORARRAY(B18),B6:D7)+B11</f>
        <v>8.5</v>
      </c>
      <c r="O18" s="42">
        <v>0.5</v>
      </c>
      <c r="P18" s="42">
        <v>-5.9</v>
      </c>
    </row>
    <row r="19" spans="2:16" x14ac:dyDescent="0.2">
      <c r="B19" s="28"/>
      <c r="C19" s="28"/>
      <c r="D19" s="28"/>
      <c r="F19" s="45" t="s">
        <v>25</v>
      </c>
      <c r="G19" s="23" t="s">
        <v>26</v>
      </c>
      <c r="H19" s="21" t="s">
        <v>34</v>
      </c>
      <c r="N19" s="2" t="s">
        <v>44</v>
      </c>
    </row>
    <row r="20" spans="2:16" x14ac:dyDescent="0.2">
      <c r="B20" s="50" t="s">
        <v>38</v>
      </c>
      <c r="C20" s="51"/>
      <c r="D20" s="51"/>
      <c r="F20" s="43">
        <f>SUM(F8:H8)/C3</f>
        <v>-0.12500404500439652</v>
      </c>
      <c r="G20" s="21"/>
      <c r="H20" s="21"/>
      <c r="N20" s="2" t="s">
        <v>2</v>
      </c>
      <c r="O20" s="38"/>
    </row>
    <row r="21" spans="2:16" x14ac:dyDescent="0.2">
      <c r="B21" s="14"/>
      <c r="C21" s="14"/>
      <c r="D21" s="14"/>
      <c r="F21" s="50" t="s">
        <v>40</v>
      </c>
      <c r="G21" s="51"/>
      <c r="H21" s="51"/>
      <c r="N21" s="49">
        <f>1/(1+EXP(-B23))</f>
        <v>0.9997965730219448</v>
      </c>
      <c r="O21" s="49">
        <f t="shared" ref="O21:P21" si="0">1/(1+EXP(-C23))</f>
        <v>0.62245933120185459</v>
      </c>
      <c r="P21" s="49">
        <f t="shared" si="0"/>
        <v>2.7319607630110591E-3</v>
      </c>
    </row>
    <row r="22" spans="2:16" x14ac:dyDescent="0.2">
      <c r="B22" s="33" t="s">
        <v>11</v>
      </c>
      <c r="C22" s="15" t="s">
        <v>13</v>
      </c>
      <c r="D22" s="16" t="s">
        <v>32</v>
      </c>
      <c r="F22" s="24"/>
      <c r="G22" s="24"/>
      <c r="H22" s="24"/>
      <c r="N22" s="2" t="s">
        <v>44</v>
      </c>
    </row>
    <row r="23" spans="2:16" x14ac:dyDescent="0.2">
      <c r="B23" s="17" cm="1">
        <f t="array" ref="B23:D23">MMULT(_xlfn.ANCHORARRAY(B18),B6:D7)+B11</f>
        <v>8.5</v>
      </c>
      <c r="C23" s="17">
        <v>0.5</v>
      </c>
      <c r="D23" s="17">
        <v>-5.9</v>
      </c>
      <c r="F23" s="24" t="s">
        <v>35</v>
      </c>
      <c r="G23" s="24">
        <v>8.9999999999999993E-3</v>
      </c>
      <c r="H23" s="24"/>
      <c r="N23" s="2" t="s">
        <v>17</v>
      </c>
    </row>
    <row r="24" spans="2:16" x14ac:dyDescent="0.2">
      <c r="B24" s="14"/>
      <c r="C24" s="14"/>
      <c r="D24" s="14"/>
      <c r="F24" s="24"/>
      <c r="G24" s="24"/>
      <c r="H24" s="24"/>
      <c r="N24" s="48">
        <f>N21-F4</f>
        <v>-2.0342697805519894E-4</v>
      </c>
      <c r="O24" s="48">
        <f t="shared" ref="O24:P24" si="1">O21-G4</f>
        <v>-0.37754066879814541</v>
      </c>
      <c r="P24" s="48">
        <f t="shared" si="1"/>
        <v>2.7319607630110591E-3</v>
      </c>
    </row>
    <row r="25" spans="2:16" x14ac:dyDescent="0.2">
      <c r="B25" s="33" t="s">
        <v>2</v>
      </c>
      <c r="C25" s="15" t="s">
        <v>12</v>
      </c>
      <c r="D25" s="16" t="s">
        <v>33</v>
      </c>
      <c r="F25" s="36" t="s">
        <v>3</v>
      </c>
      <c r="G25" s="24"/>
      <c r="H25" s="36" t="s">
        <v>1</v>
      </c>
      <c r="J25"/>
      <c r="K25"/>
      <c r="L25"/>
      <c r="M25"/>
    </row>
    <row r="26" spans="2:16" x14ac:dyDescent="0.2">
      <c r="B26" s="18">
        <f>1/(1+EXP(-B23))</f>
        <v>0.9997965730219448</v>
      </c>
      <c r="C26" s="18">
        <f>1/(1+EXP(-C23))</f>
        <v>0.62245933120185459</v>
      </c>
      <c r="D26" s="18">
        <f>1/(1+EXP(-D23))</f>
        <v>2.7319607630110591E-3</v>
      </c>
      <c r="F26" s="46">
        <f>B14-F16*$G$23</f>
        <v>0.99774356215043436</v>
      </c>
      <c r="G26" s="47"/>
      <c r="H26" s="46">
        <f>B11-F20*$G$23</f>
        <v>1.5011250364050395</v>
      </c>
      <c r="J26"/>
      <c r="K26"/>
      <c r="L26"/>
      <c r="M26"/>
    </row>
    <row r="27" spans="2:16" x14ac:dyDescent="0.2">
      <c r="B27" s="14"/>
      <c r="C27" s="14"/>
      <c r="D27" s="14"/>
      <c r="F27" s="46">
        <f>B15-F17*$G$23</f>
        <v>2.0005943686693248</v>
      </c>
      <c r="G27" s="47"/>
      <c r="H27" s="47"/>
      <c r="J27"/>
      <c r="K27"/>
      <c r="L27"/>
      <c r="M27"/>
    </row>
    <row r="28" spans="2:16" x14ac:dyDescent="0.2">
      <c r="J28"/>
      <c r="K28"/>
      <c r="L28"/>
      <c r="M28"/>
    </row>
    <row r="29" spans="2:16" x14ac:dyDescent="0.2">
      <c r="J29"/>
      <c r="K29"/>
      <c r="L29"/>
      <c r="M29"/>
    </row>
    <row r="30" spans="2:16" x14ac:dyDescent="0.2">
      <c r="J30"/>
      <c r="K30"/>
      <c r="L30"/>
      <c r="M30"/>
    </row>
    <row r="31" spans="2:16" x14ac:dyDescent="0.2">
      <c r="J31"/>
      <c r="K31"/>
      <c r="L31"/>
      <c r="M31"/>
    </row>
    <row r="32" spans="2:16" x14ac:dyDescent="0.2">
      <c r="J32"/>
      <c r="K32"/>
      <c r="L32"/>
      <c r="M32"/>
    </row>
    <row r="33" spans="10:13" x14ac:dyDescent="0.2">
      <c r="J33"/>
      <c r="K33"/>
      <c r="L33"/>
      <c r="M33"/>
    </row>
    <row r="34" spans="10:13" x14ac:dyDescent="0.2">
      <c r="J34"/>
      <c r="K34"/>
      <c r="L34"/>
      <c r="M3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68F7-EC70-FB47-940A-37A665552696}">
  <dimension ref="A1:O34"/>
  <sheetViews>
    <sheetView showGridLines="0" tabSelected="1" workbookViewId="0">
      <selection activeCell="F20" sqref="F20"/>
    </sheetView>
  </sheetViews>
  <sheetFormatPr baseColWidth="10" defaultRowHeight="16" x14ac:dyDescent="0.2"/>
  <cols>
    <col min="2" max="8" width="12.83203125" customWidth="1"/>
    <col min="9" max="9" width="5.83203125" customWidth="1"/>
    <col min="10" max="11" width="29.83203125" customWidth="1"/>
    <col min="12" max="15" width="10.83203125" style="54"/>
  </cols>
  <sheetData>
    <row r="1" spans="1:6" x14ac:dyDescent="0.2">
      <c r="A1" t="s">
        <v>68</v>
      </c>
    </row>
    <row r="3" spans="1:6" x14ac:dyDescent="0.2">
      <c r="B3" s="55" t="s">
        <v>23</v>
      </c>
      <c r="C3" s="55" t="s">
        <v>53</v>
      </c>
      <c r="D3" s="55" t="s">
        <v>54</v>
      </c>
      <c r="E3" s="55" t="s">
        <v>55</v>
      </c>
      <c r="F3" s="55" t="s">
        <v>56</v>
      </c>
    </row>
    <row r="4" spans="1:6" s="9" customFormat="1" x14ac:dyDescent="0.2">
      <c r="B4" s="70">
        <v>50</v>
      </c>
      <c r="C4" s="70">
        <v>64</v>
      </c>
      <c r="D4" s="70">
        <v>32</v>
      </c>
      <c r="E4" s="70">
        <v>16</v>
      </c>
      <c r="F4" s="70">
        <v>1</v>
      </c>
    </row>
    <row r="8" spans="1:6" s="9" customFormat="1" x14ac:dyDescent="0.2"/>
    <row r="12" spans="1:6" s="9" customFormat="1" x14ac:dyDescent="0.2"/>
    <row r="16" spans="1:6" s="9" customFormat="1" x14ac:dyDescent="0.2"/>
    <row r="20" spans="2:9" x14ac:dyDescent="0.2">
      <c r="B20" s="65" t="s">
        <v>0</v>
      </c>
      <c r="C20" s="66" t="s">
        <v>57</v>
      </c>
      <c r="D20" s="66" t="str">
        <f>"("&amp;_n0&amp;","&amp;_m&amp;")"</f>
        <v>(64,50)</v>
      </c>
      <c r="E20" s="54"/>
      <c r="F20" s="69" t="s">
        <v>67</v>
      </c>
      <c r="G20" s="9"/>
      <c r="H20" s="9"/>
    </row>
    <row r="21" spans="2:9" x14ac:dyDescent="0.2">
      <c r="B21" s="56"/>
      <c r="C21" s="57"/>
      <c r="D21" s="57"/>
      <c r="E21" s="57"/>
      <c r="F21" s="57"/>
      <c r="G21" s="9"/>
    </row>
    <row r="22" spans="2:9" x14ac:dyDescent="0.2">
      <c r="B22" s="59" t="s">
        <v>69</v>
      </c>
      <c r="C22" s="60" t="s">
        <v>59</v>
      </c>
      <c r="D22" s="60" t="str">
        <f>"("&amp;_n1&amp;","&amp;_n0&amp;")"</f>
        <v>(32,64)</v>
      </c>
    </row>
    <row r="23" spans="2:9" x14ac:dyDescent="0.2">
      <c r="B23" s="61" t="s">
        <v>70</v>
      </c>
      <c r="C23" s="62" t="s">
        <v>58</v>
      </c>
      <c r="D23" s="62" t="str">
        <f>"("&amp;_n2&amp;","&amp;_n1&amp;")"</f>
        <v>(16,32)</v>
      </c>
    </row>
    <row r="24" spans="2:9" x14ac:dyDescent="0.2">
      <c r="B24" s="63" t="s">
        <v>71</v>
      </c>
      <c r="C24" s="64" t="s">
        <v>66</v>
      </c>
      <c r="D24" s="64" t="str">
        <f>"("&amp;_n3&amp;","&amp;_n2&amp;")"</f>
        <v>(1,16)</v>
      </c>
    </row>
    <row r="25" spans="2:9" x14ac:dyDescent="0.2">
      <c r="B25" s="56"/>
      <c r="C25" s="57"/>
      <c r="D25" s="57"/>
    </row>
    <row r="26" spans="2:9" x14ac:dyDescent="0.2">
      <c r="B26" s="59" t="s">
        <v>72</v>
      </c>
      <c r="C26" s="60" t="s">
        <v>60</v>
      </c>
      <c r="D26" s="60" t="str">
        <f>"("&amp;_n1&amp;","&amp;1&amp;")"</f>
        <v>(32,1)</v>
      </c>
    </row>
    <row r="27" spans="2:9" x14ac:dyDescent="0.2">
      <c r="B27" s="61" t="s">
        <v>73</v>
      </c>
      <c r="C27" s="62" t="s">
        <v>61</v>
      </c>
      <c r="D27" s="62" t="str">
        <f>"("&amp;_n2&amp;","&amp;1&amp;")"</f>
        <v>(16,1)</v>
      </c>
    </row>
    <row r="28" spans="2:9" x14ac:dyDescent="0.2">
      <c r="B28" s="63" t="s">
        <v>74</v>
      </c>
      <c r="C28" s="64" t="s">
        <v>62</v>
      </c>
      <c r="D28" s="64" t="str">
        <f>"("&amp;_n3&amp;","&amp;1&amp;")"</f>
        <v>(1,1)</v>
      </c>
    </row>
    <row r="29" spans="2:9" x14ac:dyDescent="0.2">
      <c r="B29" s="56"/>
      <c r="C29" s="57"/>
      <c r="D29" s="57"/>
    </row>
    <row r="30" spans="2:9" x14ac:dyDescent="0.2">
      <c r="B30" s="59" t="s">
        <v>75</v>
      </c>
      <c r="C30" s="60" t="s">
        <v>63</v>
      </c>
      <c r="D30" s="60" t="str">
        <f>"("&amp;_n1&amp;","&amp;_m&amp;")"</f>
        <v>(32,50)</v>
      </c>
      <c r="F30" s="58" t="str">
        <f>C22&amp;"@"&amp;C20&amp;"+"&amp;C26&amp;"="&amp;C30</f>
        <v>(n1,n0)@(n0,m)+(n1,1)=(n1,m)</v>
      </c>
      <c r="I30" s="58" t="str">
        <f>D22&amp;"@"&amp;D20&amp;"+"&amp;D26&amp;"="&amp;D30</f>
        <v>(32,64)@(64,50)+(32,1)=(32,50)</v>
      </c>
    </row>
    <row r="31" spans="2:9" x14ac:dyDescent="0.2">
      <c r="B31" s="61" t="s">
        <v>76</v>
      </c>
      <c r="C31" s="62" t="s">
        <v>64</v>
      </c>
      <c r="D31" s="62" t="str">
        <f>"("&amp;_n2&amp;","&amp;_m&amp;")"</f>
        <v>(16,50)</v>
      </c>
      <c r="F31" s="58" t="str">
        <f>C23&amp;"@"&amp;C30&amp;"+"&amp;C27&amp;"="&amp;C31</f>
        <v>(n2,n1)@(n1,m)+(n2,1)=(n2,m)</v>
      </c>
      <c r="I31" s="58" t="str">
        <f>D23&amp;"@"&amp;D30&amp;"+"&amp;D27&amp;"="&amp;D31</f>
        <v>(16,32)@(32,50)+(16,1)=(16,50)</v>
      </c>
    </row>
    <row r="32" spans="2:9" x14ac:dyDescent="0.2">
      <c r="B32" s="63" t="s">
        <v>77</v>
      </c>
      <c r="C32" s="64" t="s">
        <v>65</v>
      </c>
      <c r="D32" s="64" t="str">
        <f>"("&amp;_n3&amp;","&amp;_m&amp;")"</f>
        <v>(1,50)</v>
      </c>
      <c r="F32" s="58" t="str">
        <f>C24&amp;"@"&amp;C31&amp;"+"&amp;C28&amp;"="&amp;C32</f>
        <v>(n3,n2)@(n2,m)+(n3,1)=(n3,m)</v>
      </c>
      <c r="I32" s="58" t="str">
        <f>D24&amp;"@"&amp;D31&amp;"+"&amp;D28&amp;"="&amp;D32</f>
        <v>(1,16)@(16,50)+(1,1)=(1,50)</v>
      </c>
    </row>
    <row r="33" spans="2:8" x14ac:dyDescent="0.2">
      <c r="B33" s="56"/>
      <c r="C33" s="57"/>
      <c r="D33" s="57"/>
      <c r="E33" s="57"/>
      <c r="F33" s="57"/>
      <c r="G33" s="9"/>
    </row>
    <row r="34" spans="2:8" x14ac:dyDescent="0.2">
      <c r="B34" s="67" t="s">
        <v>16</v>
      </c>
      <c r="C34" s="68" t="s">
        <v>65</v>
      </c>
      <c r="D34" s="68" t="str">
        <f>"("&amp;_n3&amp;","&amp;_m&amp;")"</f>
        <v>(1,50)</v>
      </c>
      <c r="E34" s="6"/>
      <c r="F34" s="69" t="s">
        <v>67</v>
      </c>
      <c r="G34" s="9"/>
      <c r="H34" s="9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example</vt:lpstr>
      <vt:lpstr>shape calculator</vt:lpstr>
      <vt:lpstr>_m</vt:lpstr>
      <vt:lpstr>_n0</vt:lpstr>
      <vt:lpstr>_n1</vt:lpstr>
      <vt:lpstr>_n2</vt:lpstr>
      <vt:lpstr>_n3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2025-08-25T13:58:02Z</dcterms:created>
  <dcterms:modified xsi:type="dcterms:W3CDTF">2025-08-26T17:19:58Z</dcterms:modified>
</cp:coreProperties>
</file>