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kis/Documents/sckool/notes-deep-learning/MyMaterial/neural_networks/"/>
    </mc:Choice>
  </mc:AlternateContent>
  <xr:revisionPtr revIDLastSave="0" documentId="13_ncr:1_{B3361526-597C-8B4E-BE4C-359BCF032923}" xr6:coauthVersionLast="47" xr6:coauthVersionMax="47" xr10:uidLastSave="{00000000-0000-0000-0000-000000000000}"/>
  <bookViews>
    <workbookView xWindow="380" yWindow="500" windowWidth="28040" windowHeight="16080" xr2:uid="{4E82C0CA-0812-3747-A709-9AFA8B7FE395}"/>
  </bookViews>
  <sheets>
    <sheet name="Shallow_NN_AND_Gate" sheetId="1" r:id="rId1"/>
  </sheets>
  <externalReferences>
    <externalReference r:id="rId2"/>
  </externalReferences>
  <definedNames>
    <definedName name="lr">Shallow_NN_AND_Gate!$C$12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478" i="1" a="1"/>
  <c r="D477" i="1" a="1"/>
  <c r="D477" i="1" s="1"/>
  <c r="B476" i="1"/>
  <c r="D455" i="1" a="1"/>
  <c r="D454" i="1" a="1"/>
  <c r="D454" i="1" s="1"/>
  <c r="B453" i="1"/>
  <c r="D432" i="1" a="1"/>
  <c r="D431" i="1" a="1"/>
  <c r="D431" i="1" s="1"/>
  <c r="D409" i="1" a="1"/>
  <c r="D408" i="1" a="1"/>
  <c r="D408" i="1" s="1"/>
  <c r="D386" i="1" a="1"/>
  <c r="D385" i="1" a="1"/>
  <c r="D385" i="1" s="1"/>
  <c r="D363" i="1" a="1"/>
  <c r="D362" i="1" a="1"/>
  <c r="D362" i="1" s="1"/>
  <c r="D340" i="1" a="1"/>
  <c r="D339" i="1" a="1"/>
  <c r="D339" i="1" s="1"/>
  <c r="D317" i="1" a="1"/>
  <c r="D316" i="1" a="1"/>
  <c r="D316" i="1" s="1"/>
  <c r="D294" i="1" a="1"/>
  <c r="D293" i="1" a="1"/>
  <c r="D293" i="1" s="1"/>
  <c r="D271" i="1" a="1"/>
  <c r="D270" i="1" a="1"/>
  <c r="D270" i="1" s="1"/>
  <c r="D248" i="1" a="1"/>
  <c r="D247" i="1" a="1"/>
  <c r="D247" i="1" s="1"/>
  <c r="B246" i="1"/>
  <c r="B269" i="1" s="1"/>
  <c r="B292" i="1" s="1"/>
  <c r="B315" i="1" s="1"/>
  <c r="B338" i="1" s="1"/>
  <c r="B361" i="1" s="1"/>
  <c r="B384" i="1" s="1"/>
  <c r="B407" i="1" s="1"/>
  <c r="B430" i="1" s="1"/>
  <c r="D225" i="1" a="1"/>
  <c r="D224" i="1" a="1"/>
  <c r="D224" i="1" s="1"/>
  <c r="B223" i="1"/>
  <c r="D202" i="1" a="1"/>
  <c r="D201" i="1" a="1"/>
  <c r="D201" i="1" s="1"/>
  <c r="B200" i="1"/>
  <c r="D179" i="1" a="1"/>
  <c r="D178" i="1" a="1"/>
  <c r="D178" i="1" s="1"/>
  <c r="B177" i="1"/>
  <c r="D156" i="1" a="1"/>
  <c r="D155" i="1" a="1"/>
  <c r="D155" i="1" s="1"/>
  <c r="B154" i="1"/>
  <c r="D133" i="1" a="1"/>
  <c r="D133" i="1" s="1"/>
  <c r="D142" i="1" s="1" a="1"/>
  <c r="D142" i="1" s="1"/>
  <c r="D132" i="1" a="1"/>
  <c r="D132" i="1" s="1"/>
  <c r="B131" i="1"/>
  <c r="D110" i="1" a="1"/>
  <c r="D109" i="1" a="1"/>
  <c r="D109" i="1" s="1"/>
  <c r="B108" i="1"/>
  <c r="D87" i="1" a="1"/>
  <c r="D86" i="1" a="1"/>
  <c r="D86" i="1" s="1"/>
  <c r="B85" i="1"/>
  <c r="D64" i="1" a="1"/>
  <c r="D63" i="1" a="1"/>
  <c r="D63" i="1" s="1"/>
  <c r="B62" i="1"/>
  <c r="B39" i="1"/>
  <c r="D41" i="1" a="1"/>
  <c r="D40" i="1" a="1"/>
  <c r="D40" i="1" s="1"/>
  <c r="D18" i="1" a="1"/>
  <c r="D478" i="1" l="1"/>
  <c r="D455" i="1"/>
  <c r="D464" i="1" a="1"/>
  <c r="D464" i="1" s="1"/>
  <c r="D432" i="1"/>
  <c r="D441" i="1" s="1" a="1"/>
  <c r="D441" i="1" s="1"/>
  <c r="D409" i="1"/>
  <c r="D418" i="1" s="1" a="1"/>
  <c r="D418" i="1" s="1"/>
  <c r="D386" i="1"/>
  <c r="D395" i="1" s="1" a="1"/>
  <c r="D395" i="1" s="1"/>
  <c r="D363" i="1"/>
  <c r="D372" i="1" a="1"/>
  <c r="D372" i="1" s="1"/>
  <c r="D340" i="1"/>
  <c r="D349" i="1" a="1"/>
  <c r="D349" i="1" s="1"/>
  <c r="D317" i="1"/>
  <c r="D326" i="1" s="1" a="1"/>
  <c r="D326" i="1" s="1"/>
  <c r="D294" i="1"/>
  <c r="D303" i="1" a="1"/>
  <c r="D303" i="1" s="1"/>
  <c r="D271" i="1"/>
  <c r="D280" i="1" s="1" a="1"/>
  <c r="D280" i="1" s="1"/>
  <c r="D248" i="1"/>
  <c r="D257" i="1" s="1" a="1"/>
  <c r="D257" i="1" s="1"/>
  <c r="D225" i="1"/>
  <c r="D202" i="1"/>
  <c r="D179" i="1"/>
  <c r="D156" i="1"/>
  <c r="D165" i="1" s="1" a="1"/>
  <c r="D165" i="1" s="1"/>
  <c r="D110" i="1"/>
  <c r="D96" i="1" a="1"/>
  <c r="D96" i="1" s="1"/>
  <c r="D87" i="1"/>
  <c r="D64" i="1"/>
  <c r="D41" i="1"/>
  <c r="D50" i="1" a="1"/>
  <c r="D50" i="1" s="1"/>
  <c r="D17" i="1" a="1"/>
  <c r="D17" i="1" s="1"/>
  <c r="D18" i="1"/>
  <c r="D487" i="1" l="1" a="1"/>
  <c r="D487" i="1" s="1"/>
  <c r="D234" i="1" a="1"/>
  <c r="D234" i="1" s="1"/>
  <c r="D211" i="1" a="1"/>
  <c r="D211" i="1" s="1"/>
  <c r="D188" i="1" a="1"/>
  <c r="D188" i="1" s="1"/>
  <c r="D119" i="1" a="1"/>
  <c r="D119" i="1" s="1"/>
  <c r="D73" i="1" a="1"/>
  <c r="D73" i="1" s="1"/>
  <c r="D27" i="1" a="1"/>
  <c r="D27" i="1" s="1"/>
  <c r="D20" i="1" a="1"/>
  <c r="D20" i="1" l="1"/>
  <c r="D21" i="1" s="1"/>
  <c r="E21" i="1"/>
  <c r="G21" i="1"/>
  <c r="F21" i="1"/>
  <c r="D22" i="1"/>
  <c r="D25" i="1"/>
  <c r="D24" i="1"/>
  <c r="D29" i="1" s="1"/>
  <c r="F22" i="1"/>
  <c r="F25" i="1"/>
  <c r="F24" i="1"/>
  <c r="F29" i="1" s="1"/>
  <c r="D31" i="1" l="1"/>
  <c r="D32" i="1"/>
  <c r="F31" i="1"/>
  <c r="F32" i="1"/>
  <c r="E22" i="1"/>
  <c r="E25" i="1"/>
  <c r="E24" i="1"/>
  <c r="G22" i="1"/>
  <c r="G25" i="1"/>
  <c r="G24" i="1"/>
  <c r="G29" i="1" s="1"/>
  <c r="G23" i="1"/>
  <c r="D30" i="1"/>
  <c r="G30" i="1"/>
  <c r="F30" i="1"/>
  <c r="E29" i="1"/>
  <c r="G32" i="1" l="1"/>
  <c r="G31" i="1"/>
  <c r="E32" i="1"/>
  <c r="E31" i="1"/>
  <c r="E30" i="1"/>
  <c r="G33" i="1" s="1"/>
  <c r="E39" i="1" s="1"/>
  <c r="G35" i="1"/>
  <c r="G39" i="1" s="1"/>
  <c r="G34" i="1"/>
  <c r="F39" i="1" s="1"/>
  <c r="D43" i="1" s="1" a="1"/>
  <c r="E44" i="1" l="1"/>
  <c r="F44" i="1"/>
  <c r="D43" i="1"/>
  <c r="D44" i="1" s="1"/>
  <c r="G44" i="1"/>
  <c r="E48" i="1" l="1"/>
  <c r="E47" i="1"/>
  <c r="E52" i="1" s="1"/>
  <c r="E45" i="1"/>
  <c r="F48" i="1"/>
  <c r="F45" i="1"/>
  <c r="F47" i="1"/>
  <c r="F52" i="1" s="1"/>
  <c r="D47" i="1"/>
  <c r="D45" i="1"/>
  <c r="D48" i="1"/>
  <c r="G48" i="1"/>
  <c r="G45" i="1"/>
  <c r="G47" i="1"/>
  <c r="G52" i="1" s="1"/>
  <c r="G46" i="1" l="1"/>
  <c r="E55" i="1"/>
  <c r="E53" i="1"/>
  <c r="E54" i="1"/>
  <c r="F54" i="1"/>
  <c r="F53" i="1"/>
  <c r="F55" i="1"/>
  <c r="G54" i="1"/>
  <c r="G55" i="1"/>
  <c r="G53" i="1"/>
  <c r="D52" i="1"/>
  <c r="D54" i="1" l="1"/>
  <c r="G57" i="1" s="1"/>
  <c r="F62" i="1" s="1"/>
  <c r="D53" i="1"/>
  <c r="G56" i="1" s="1"/>
  <c r="E62" i="1" s="1"/>
  <c r="D55" i="1"/>
  <c r="G58" i="1" s="1"/>
  <c r="G62" i="1" s="1"/>
  <c r="D66" i="1" l="1" a="1"/>
  <c r="G67" i="1" l="1"/>
  <c r="D66" i="1"/>
  <c r="D67" i="1" s="1"/>
  <c r="D68" i="1" s="1"/>
  <c r="E67" i="1"/>
  <c r="F67" i="1"/>
  <c r="G68" i="1" l="1"/>
  <c r="G70" i="1"/>
  <c r="G71" i="1"/>
  <c r="D71" i="1"/>
  <c r="D70" i="1"/>
  <c r="D75" i="1" s="1"/>
  <c r="E71" i="1"/>
  <c r="E70" i="1"/>
  <c r="E75" i="1" s="1"/>
  <c r="E68" i="1"/>
  <c r="F70" i="1"/>
  <c r="F71" i="1"/>
  <c r="F68" i="1"/>
  <c r="E77" i="1" l="1"/>
  <c r="E78" i="1"/>
  <c r="E76" i="1"/>
  <c r="G75" i="1"/>
  <c r="G78" i="1" s="1"/>
  <c r="G69" i="1"/>
  <c r="F75" i="1"/>
  <c r="G76" i="1"/>
  <c r="G77" i="1"/>
  <c r="D77" i="1"/>
  <c r="D78" i="1"/>
  <c r="D76" i="1"/>
  <c r="F76" i="1" l="1"/>
  <c r="G79" i="1" s="1"/>
  <c r="E85" i="1" s="1"/>
  <c r="F78" i="1"/>
  <c r="G81" i="1" s="1"/>
  <c r="G85" i="1" s="1"/>
  <c r="F77" i="1"/>
  <c r="G80" i="1" s="1"/>
  <c r="F85" i="1" s="1"/>
  <c r="D89" i="1" l="1" a="1"/>
  <c r="E90" i="1" l="1"/>
  <c r="F90" i="1"/>
  <c r="D89" i="1"/>
  <c r="D90" i="1" s="1"/>
  <c r="G90" i="1"/>
  <c r="E94" i="1" l="1"/>
  <c r="E93" i="1"/>
  <c r="E98" i="1" s="1"/>
  <c r="E91" i="1"/>
  <c r="F94" i="1"/>
  <c r="F93" i="1"/>
  <c r="F91" i="1"/>
  <c r="D93" i="1"/>
  <c r="D94" i="1"/>
  <c r="D91" i="1"/>
  <c r="G94" i="1"/>
  <c r="G93" i="1"/>
  <c r="G98" i="1" s="1"/>
  <c r="G91" i="1"/>
  <c r="E101" i="1" l="1"/>
  <c r="E99" i="1"/>
  <c r="E100" i="1"/>
  <c r="G99" i="1"/>
  <c r="G101" i="1"/>
  <c r="G100" i="1"/>
  <c r="F98" i="1"/>
  <c r="D98" i="1"/>
  <c r="G92" i="1"/>
  <c r="F101" i="1" l="1"/>
  <c r="F99" i="1"/>
  <c r="F100" i="1"/>
  <c r="D100" i="1"/>
  <c r="D101" i="1"/>
  <c r="D99" i="1"/>
  <c r="G103" i="1" l="1"/>
  <c r="F108" i="1" s="1"/>
  <c r="G104" i="1"/>
  <c r="G108" i="1" s="1"/>
  <c r="G102" i="1"/>
  <c r="E108" i="1" s="1"/>
  <c r="D112" i="1" l="1" a="1"/>
  <c r="E113" i="1" l="1"/>
  <c r="G113" i="1"/>
  <c r="F113" i="1"/>
  <c r="D112" i="1"/>
  <c r="D113" i="1" s="1"/>
  <c r="E114" i="1" l="1"/>
  <c r="E117" i="1"/>
  <c r="E116" i="1"/>
  <c r="E121" i="1" s="1"/>
  <c r="G116" i="1"/>
  <c r="G117" i="1"/>
  <c r="G114" i="1"/>
  <c r="F114" i="1"/>
  <c r="F117" i="1"/>
  <c r="F116" i="1"/>
  <c r="F121" i="1" s="1"/>
  <c r="D116" i="1"/>
  <c r="D114" i="1"/>
  <c r="G115" i="1" s="1"/>
  <c r="D117" i="1"/>
  <c r="E122" i="1" l="1"/>
  <c r="E124" i="1"/>
  <c r="E123" i="1"/>
  <c r="F122" i="1"/>
  <c r="F123" i="1"/>
  <c r="F124" i="1"/>
  <c r="G121" i="1"/>
  <c r="D121" i="1"/>
  <c r="G124" i="1" l="1"/>
  <c r="G122" i="1"/>
  <c r="G123" i="1"/>
  <c r="D124" i="1"/>
  <c r="G127" i="1" s="1"/>
  <c r="G131" i="1" s="1"/>
  <c r="D122" i="1"/>
  <c r="D123" i="1"/>
  <c r="G125" i="1" l="1"/>
  <c r="E131" i="1" s="1"/>
  <c r="G126" i="1"/>
  <c r="F131" i="1" s="1"/>
  <c r="D135" i="1" s="1" a="1"/>
  <c r="D135" i="1"/>
  <c r="D136" i="1" s="1"/>
  <c r="E136" i="1"/>
  <c r="F136" i="1"/>
  <c r="G136" i="1"/>
  <c r="D140" i="1" l="1"/>
  <c r="D139" i="1"/>
  <c r="D144" i="1" s="1"/>
  <c r="D137" i="1"/>
  <c r="E137" i="1"/>
  <c r="E140" i="1"/>
  <c r="E139" i="1"/>
  <c r="F140" i="1"/>
  <c r="F137" i="1"/>
  <c r="F139" i="1"/>
  <c r="F144" i="1" s="1"/>
  <c r="G140" i="1"/>
  <c r="G139" i="1"/>
  <c r="G144" i="1" s="1"/>
  <c r="G137" i="1"/>
  <c r="E144" i="1" l="1"/>
  <c r="D147" i="1"/>
  <c r="D146" i="1"/>
  <c r="D145" i="1"/>
  <c r="E146" i="1"/>
  <c r="E145" i="1"/>
  <c r="E147" i="1"/>
  <c r="F145" i="1"/>
  <c r="F147" i="1"/>
  <c r="F146" i="1"/>
  <c r="G147" i="1"/>
  <c r="G145" i="1"/>
  <c r="G146" i="1"/>
  <c r="G138" i="1"/>
  <c r="G148" i="1" l="1"/>
  <c r="E154" i="1" s="1"/>
  <c r="G149" i="1"/>
  <c r="F154" i="1" s="1"/>
  <c r="G150" i="1"/>
  <c r="G154" i="1" s="1"/>
  <c r="D158" i="1" s="1" a="1"/>
  <c r="E159" i="1" l="1"/>
  <c r="D158" i="1"/>
  <c r="D159" i="1" s="1"/>
  <c r="G159" i="1"/>
  <c r="F159" i="1"/>
  <c r="E163" i="1" l="1"/>
  <c r="E162" i="1"/>
  <c r="E160" i="1"/>
  <c r="D163" i="1"/>
  <c r="D162" i="1"/>
  <c r="D167" i="1" s="1"/>
  <c r="D160" i="1"/>
  <c r="G163" i="1"/>
  <c r="G162" i="1"/>
  <c r="G167" i="1" s="1"/>
  <c r="G160" i="1"/>
  <c r="F162" i="1"/>
  <c r="F160" i="1"/>
  <c r="F163" i="1"/>
  <c r="E167" i="1" l="1"/>
  <c r="G161" i="1"/>
  <c r="E168" i="1"/>
  <c r="E170" i="1"/>
  <c r="E169" i="1"/>
  <c r="D169" i="1"/>
  <c r="D170" i="1"/>
  <c r="D168" i="1"/>
  <c r="G169" i="1"/>
  <c r="G170" i="1"/>
  <c r="G168" i="1"/>
  <c r="F167" i="1"/>
  <c r="F169" i="1" l="1"/>
  <c r="G172" i="1" s="1"/>
  <c r="F177" i="1" s="1"/>
  <c r="F170" i="1"/>
  <c r="G173" i="1" s="1"/>
  <c r="G177" i="1" s="1"/>
  <c r="F168" i="1"/>
  <c r="G171" i="1" s="1"/>
  <c r="E177" i="1" s="1"/>
  <c r="D181" i="1" l="1" a="1"/>
  <c r="G182" i="1" l="1"/>
  <c r="D181" i="1"/>
  <c r="D182" i="1" s="1"/>
  <c r="E182" i="1"/>
  <c r="F182" i="1"/>
  <c r="G183" i="1" l="1"/>
  <c r="G185" i="1"/>
  <c r="G186" i="1"/>
  <c r="D183" i="1"/>
  <c r="D185" i="1"/>
  <c r="D186" i="1"/>
  <c r="E183" i="1"/>
  <c r="E185" i="1"/>
  <c r="E186" i="1"/>
  <c r="F185" i="1"/>
  <c r="F183" i="1"/>
  <c r="F186" i="1"/>
  <c r="G190" i="1" l="1"/>
  <c r="G184" i="1"/>
  <c r="D190" i="1"/>
  <c r="E190" i="1"/>
  <c r="F190" i="1"/>
  <c r="G191" i="1" l="1"/>
  <c r="G192" i="1"/>
  <c r="G193" i="1"/>
  <c r="D191" i="1"/>
  <c r="D193" i="1"/>
  <c r="D192" i="1"/>
  <c r="E192" i="1"/>
  <c r="E193" i="1"/>
  <c r="E191" i="1"/>
  <c r="F191" i="1"/>
  <c r="F193" i="1"/>
  <c r="F192" i="1"/>
  <c r="G196" i="1" l="1"/>
  <c r="G200" i="1" s="1"/>
  <c r="G195" i="1"/>
  <c r="F200" i="1" s="1"/>
  <c r="G194" i="1"/>
  <c r="E200" i="1" s="1"/>
  <c r="D204" i="1" s="1" a="1"/>
  <c r="G205" i="1" l="1"/>
  <c r="F205" i="1"/>
  <c r="D204" i="1"/>
  <c r="D205" i="1" s="1"/>
  <c r="E205" i="1"/>
  <c r="G209" i="1" l="1"/>
  <c r="G206" i="1"/>
  <c r="G208" i="1"/>
  <c r="G213" i="1" s="1"/>
  <c r="F206" i="1"/>
  <c r="F209" i="1"/>
  <c r="F208" i="1"/>
  <c r="D206" i="1"/>
  <c r="D208" i="1"/>
  <c r="D209" i="1"/>
  <c r="E206" i="1"/>
  <c r="E209" i="1"/>
  <c r="E208" i="1"/>
  <c r="D213" i="1" l="1"/>
  <c r="F213" i="1"/>
  <c r="D215" i="1"/>
  <c r="D214" i="1"/>
  <c r="D216" i="1"/>
  <c r="E213" i="1"/>
  <c r="G207" i="1"/>
  <c r="G214" i="1"/>
  <c r="G216" i="1"/>
  <c r="G215" i="1"/>
  <c r="F216" i="1"/>
  <c r="F215" i="1"/>
  <c r="F214" i="1"/>
  <c r="E216" i="1" l="1"/>
  <c r="G219" i="1" s="1"/>
  <c r="G223" i="1" s="1"/>
  <c r="E214" i="1"/>
  <c r="G217" i="1" s="1"/>
  <c r="E223" i="1" s="1"/>
  <c r="E215" i="1"/>
  <c r="G218" i="1" s="1"/>
  <c r="F223" i="1" s="1"/>
  <c r="D227" i="1" l="1" a="1"/>
  <c r="F228" i="1"/>
  <c r="G228" i="1"/>
  <c r="D227" i="1"/>
  <c r="D228" i="1" s="1"/>
  <c r="E228" i="1"/>
  <c r="E232" i="1"/>
  <c r="E231" i="1"/>
  <c r="E236" i="1" s="1"/>
  <c r="E229" i="1"/>
  <c r="D232" i="1"/>
  <c r="D229" i="1"/>
  <c r="D231" i="1"/>
  <c r="D236" i="1" s="1"/>
  <c r="G231" i="1"/>
  <c r="G229" i="1"/>
  <c r="G232" i="1"/>
  <c r="F229" i="1"/>
  <c r="F232" i="1"/>
  <c r="F231" i="1"/>
  <c r="F236" i="1" s="1"/>
  <c r="E239" i="1" l="1"/>
  <c r="E237" i="1"/>
  <c r="E238" i="1"/>
  <c r="D238" i="1"/>
  <c r="D237" i="1"/>
  <c r="D239" i="1"/>
  <c r="F238" i="1"/>
  <c r="F239" i="1"/>
  <c r="F237" i="1"/>
  <c r="G230" i="1"/>
  <c r="G236" i="1"/>
  <c r="G239" i="1" l="1"/>
  <c r="G242" i="1" s="1"/>
  <c r="G246" i="1" s="1"/>
  <c r="G237" i="1"/>
  <c r="G240" i="1" s="1"/>
  <c r="E246" i="1" s="1"/>
  <c r="G238" i="1"/>
  <c r="G241" i="1" s="1"/>
  <c r="F246" i="1" s="1"/>
  <c r="D250" i="1" l="1" a="1"/>
  <c r="F251" i="1" l="1"/>
  <c r="G251" i="1"/>
  <c r="D250" i="1"/>
  <c r="D251" i="1" s="1"/>
  <c r="E251" i="1"/>
  <c r="F255" i="1" l="1"/>
  <c r="F254" i="1"/>
  <c r="F252" i="1"/>
  <c r="G252" i="1"/>
  <c r="G255" i="1"/>
  <c r="G254" i="1"/>
  <c r="G259" i="1" s="1"/>
  <c r="D252" i="1"/>
  <c r="D255" i="1"/>
  <c r="D254" i="1"/>
  <c r="D259" i="1" s="1"/>
  <c r="E255" i="1"/>
  <c r="E252" i="1"/>
  <c r="E254" i="1"/>
  <c r="G253" i="1" l="1"/>
  <c r="E259" i="1"/>
  <c r="F259" i="1"/>
  <c r="D260" i="1"/>
  <c r="D261" i="1"/>
  <c r="D262" i="1"/>
  <c r="F260" i="1"/>
  <c r="F261" i="1"/>
  <c r="F262" i="1"/>
  <c r="G260" i="1"/>
  <c r="G262" i="1"/>
  <c r="G261" i="1"/>
  <c r="E260" i="1"/>
  <c r="G263" i="1" s="1"/>
  <c r="E269" i="1" s="1"/>
  <c r="E261" i="1"/>
  <c r="G264" i="1" s="1"/>
  <c r="F269" i="1" s="1"/>
  <c r="E262" i="1"/>
  <c r="G265" i="1" s="1"/>
  <c r="G269" i="1" s="1"/>
  <c r="D273" i="1" l="1" a="1"/>
  <c r="D273" i="1" l="1"/>
  <c r="D274" i="1" s="1"/>
  <c r="E274" i="1"/>
  <c r="F274" i="1"/>
  <c r="G274" i="1"/>
  <c r="D278" i="1" l="1"/>
  <c r="D277" i="1"/>
  <c r="D282" i="1" s="1"/>
  <c r="D275" i="1"/>
  <c r="E278" i="1"/>
  <c r="E277" i="1"/>
  <c r="E282" i="1" s="1"/>
  <c r="E275" i="1"/>
  <c r="F278" i="1"/>
  <c r="F277" i="1"/>
  <c r="F275" i="1"/>
  <c r="G275" i="1"/>
  <c r="G278" i="1"/>
  <c r="G277" i="1"/>
  <c r="G282" i="1" l="1"/>
  <c r="F282" i="1"/>
  <c r="D283" i="1"/>
  <c r="D284" i="1"/>
  <c r="D285" i="1"/>
  <c r="E284" i="1"/>
  <c r="E283" i="1"/>
  <c r="E285" i="1"/>
  <c r="G276" i="1"/>
  <c r="G284" i="1" l="1"/>
  <c r="G285" i="1"/>
  <c r="G283" i="1"/>
  <c r="F285" i="1"/>
  <c r="G288" i="1" s="1"/>
  <c r="G292" i="1" s="1"/>
  <c r="F283" i="1"/>
  <c r="G286" i="1" s="1"/>
  <c r="E292" i="1" s="1"/>
  <c r="F284" i="1"/>
  <c r="G287" i="1"/>
  <c r="F292" i="1" s="1"/>
  <c r="D296" i="1" l="1" a="1"/>
  <c r="D296" i="1" l="1"/>
  <c r="D297" i="1" s="1"/>
  <c r="E297" i="1"/>
  <c r="G297" i="1"/>
  <c r="F297" i="1"/>
  <c r="D300" i="1"/>
  <c r="D298" i="1"/>
  <c r="D301" i="1"/>
  <c r="G300" i="1"/>
  <c r="G298" i="1"/>
  <c r="G301" i="1"/>
  <c r="E298" i="1"/>
  <c r="E301" i="1"/>
  <c r="E300" i="1"/>
  <c r="E305" i="1" s="1"/>
  <c r="F298" i="1" l="1"/>
  <c r="F301" i="1"/>
  <c r="F300" i="1"/>
  <c r="E308" i="1"/>
  <c r="E306" i="1"/>
  <c r="E307" i="1"/>
  <c r="D305" i="1"/>
  <c r="G299" i="1"/>
  <c r="G305" i="1"/>
  <c r="F305" i="1"/>
  <c r="D306" i="1" l="1"/>
  <c r="D308" i="1"/>
  <c r="D307" i="1"/>
  <c r="G307" i="1"/>
  <c r="G308" i="1"/>
  <c r="G306" i="1"/>
  <c r="F307" i="1"/>
  <c r="F308" i="1"/>
  <c r="F306" i="1"/>
  <c r="G309" i="1" l="1"/>
  <c r="E315" i="1" s="1"/>
  <c r="G311" i="1"/>
  <c r="G315" i="1" s="1"/>
  <c r="G310" i="1"/>
  <c r="F315" i="1" s="1"/>
  <c r="D319" i="1" l="1" a="1"/>
  <c r="D319" i="1" l="1"/>
  <c r="D320" i="1" s="1"/>
  <c r="G320" i="1"/>
  <c r="F320" i="1"/>
  <c r="E320" i="1"/>
  <c r="D324" i="1"/>
  <c r="D323" i="1" l="1"/>
  <c r="D328" i="1" s="1"/>
  <c r="D321" i="1"/>
  <c r="G321" i="1"/>
  <c r="G324" i="1"/>
  <c r="G323" i="1"/>
  <c r="G328" i="1" s="1"/>
  <c r="F321" i="1"/>
  <c r="F324" i="1"/>
  <c r="F323" i="1"/>
  <c r="F328" i="1" s="1"/>
  <c r="E321" i="1"/>
  <c r="E323" i="1"/>
  <c r="E328" i="1" s="1"/>
  <c r="E324" i="1"/>
  <c r="D330" i="1"/>
  <c r="D329" i="1"/>
  <c r="D331" i="1"/>
  <c r="G322" i="1" l="1"/>
  <c r="G331" i="1"/>
  <c r="G329" i="1"/>
  <c r="G330" i="1"/>
  <c r="F329" i="1"/>
  <c r="F330" i="1"/>
  <c r="F331" i="1"/>
  <c r="E331" i="1"/>
  <c r="G334" i="1" s="1"/>
  <c r="G338" i="1" s="1"/>
  <c r="E329" i="1"/>
  <c r="G332" i="1" s="1"/>
  <c r="E338" i="1" s="1"/>
  <c r="E330" i="1"/>
  <c r="G333" i="1" s="1"/>
  <c r="F338" i="1" s="1"/>
  <c r="D342" i="1" s="1" a="1"/>
  <c r="D342" i="1" l="1"/>
  <c r="D343" i="1" s="1"/>
  <c r="G343" i="1"/>
  <c r="F343" i="1"/>
  <c r="E343" i="1"/>
  <c r="D347" i="1" l="1"/>
  <c r="D344" i="1"/>
  <c r="D346" i="1"/>
  <c r="D351" i="1" s="1"/>
  <c r="G347" i="1"/>
  <c r="G344" i="1"/>
  <c r="G346" i="1"/>
  <c r="G351" i="1" s="1"/>
  <c r="F344" i="1"/>
  <c r="F347" i="1"/>
  <c r="F346" i="1"/>
  <c r="E344" i="1"/>
  <c r="E347" i="1"/>
  <c r="E346" i="1"/>
  <c r="F351" i="1" l="1"/>
  <c r="D352" i="1"/>
  <c r="D354" i="1"/>
  <c r="D353" i="1"/>
  <c r="G353" i="1"/>
  <c r="G352" i="1"/>
  <c r="G354" i="1"/>
  <c r="G345" i="1"/>
  <c r="E351" i="1"/>
  <c r="F352" i="1" l="1"/>
  <c r="F354" i="1"/>
  <c r="F353" i="1"/>
  <c r="E354" i="1"/>
  <c r="G357" i="1" s="1"/>
  <c r="G361" i="1" s="1"/>
  <c r="E353" i="1"/>
  <c r="E352" i="1"/>
  <c r="G356" i="1" l="1"/>
  <c r="F361" i="1" s="1"/>
  <c r="D365" i="1" s="1" a="1"/>
  <c r="G355" i="1"/>
  <c r="E361" i="1" s="1"/>
  <c r="F366" i="1" l="1"/>
  <c r="D365" i="1"/>
  <c r="D366" i="1" s="1"/>
  <c r="E366" i="1"/>
  <c r="G366" i="1"/>
  <c r="D369" i="1"/>
  <c r="D367" i="1" l="1"/>
  <c r="D370" i="1"/>
  <c r="D374" i="1" s="1"/>
  <c r="F370" i="1"/>
  <c r="F369" i="1"/>
  <c r="F374" i="1" s="1"/>
  <c r="F367" i="1"/>
  <c r="E370" i="1"/>
  <c r="E369" i="1"/>
  <c r="E374" i="1" s="1"/>
  <c r="E367" i="1"/>
  <c r="G370" i="1"/>
  <c r="G367" i="1"/>
  <c r="G369" i="1"/>
  <c r="G374" i="1" s="1"/>
  <c r="D375" i="1"/>
  <c r="D376" i="1"/>
  <c r="D377" i="1"/>
  <c r="E375" i="1"/>
  <c r="E377" i="1"/>
  <c r="E376" i="1"/>
  <c r="G376" i="1"/>
  <c r="G375" i="1"/>
  <c r="G377" i="1"/>
  <c r="F375" i="1"/>
  <c r="F377" i="1"/>
  <c r="F376" i="1"/>
  <c r="G368" i="1"/>
  <c r="G378" i="1" l="1"/>
  <c r="E384" i="1" s="1"/>
  <c r="G379" i="1"/>
  <c r="F384" i="1" s="1"/>
  <c r="G380" i="1"/>
  <c r="G384" i="1" s="1"/>
  <c r="D388" i="1" l="1" a="1"/>
  <c r="E389" i="1" l="1"/>
  <c r="F389" i="1"/>
  <c r="G389" i="1"/>
  <c r="D388" i="1"/>
  <c r="D389" i="1" s="1"/>
  <c r="E393" i="1" l="1"/>
  <c r="E392" i="1"/>
  <c r="E390" i="1"/>
  <c r="F393" i="1"/>
  <c r="F392" i="1"/>
  <c r="F390" i="1"/>
  <c r="G390" i="1"/>
  <c r="G393" i="1"/>
  <c r="G392" i="1"/>
  <c r="G397" i="1" s="1"/>
  <c r="D393" i="1"/>
  <c r="D390" i="1"/>
  <c r="D392" i="1"/>
  <c r="D397" i="1" s="1"/>
  <c r="E397" i="1" l="1"/>
  <c r="E398" i="1"/>
  <c r="E399" i="1"/>
  <c r="E400" i="1"/>
  <c r="G399" i="1"/>
  <c r="G398" i="1"/>
  <c r="G400" i="1"/>
  <c r="D398" i="1"/>
  <c r="D400" i="1"/>
  <c r="D399" i="1"/>
  <c r="F397" i="1"/>
  <c r="G391" i="1"/>
  <c r="F399" i="1" l="1"/>
  <c r="G402" i="1" s="1"/>
  <c r="F407" i="1" s="1"/>
  <c r="F398" i="1"/>
  <c r="G401" i="1" s="1"/>
  <c r="E407" i="1" s="1"/>
  <c r="F400" i="1"/>
  <c r="G403" i="1"/>
  <c r="G407" i="1" s="1"/>
  <c r="D411" i="1" l="1" a="1"/>
  <c r="D411" i="1" l="1"/>
  <c r="D412" i="1" s="1"/>
  <c r="G412" i="1"/>
  <c r="F412" i="1"/>
  <c r="E412" i="1"/>
  <c r="D413" i="1" l="1"/>
  <c r="D416" i="1"/>
  <c r="D415" i="1"/>
  <c r="G415" i="1"/>
  <c r="G416" i="1"/>
  <c r="G413" i="1"/>
  <c r="F416" i="1"/>
  <c r="F413" i="1"/>
  <c r="F415" i="1"/>
  <c r="F420" i="1" s="1"/>
  <c r="E413" i="1"/>
  <c r="E415" i="1"/>
  <c r="E416" i="1"/>
  <c r="D420" i="1" l="1"/>
  <c r="G420" i="1"/>
  <c r="F423" i="1"/>
  <c r="F421" i="1"/>
  <c r="F422" i="1"/>
  <c r="G414" i="1"/>
  <c r="E420" i="1"/>
  <c r="D423" i="1" l="1"/>
  <c r="D421" i="1"/>
  <c r="D422" i="1"/>
  <c r="G422" i="1"/>
  <c r="G423" i="1"/>
  <c r="G421" i="1"/>
  <c r="E423" i="1"/>
  <c r="E422" i="1"/>
  <c r="E421" i="1"/>
  <c r="G426" i="1" l="1"/>
  <c r="G430" i="1" s="1"/>
  <c r="G425" i="1"/>
  <c r="F430" i="1" s="1"/>
  <c r="G424" i="1"/>
  <c r="E430" i="1" s="1"/>
  <c r="D434" i="1" l="1" a="1"/>
  <c r="E435" i="1"/>
  <c r="F435" i="1"/>
  <c r="D434" i="1"/>
  <c r="D435" i="1" s="1"/>
  <c r="G435" i="1"/>
  <c r="E439" i="1" l="1"/>
  <c r="E438" i="1"/>
  <c r="E436" i="1"/>
  <c r="F436" i="1"/>
  <c r="F439" i="1"/>
  <c r="F438" i="1"/>
  <c r="F443" i="1" s="1"/>
  <c r="D439" i="1"/>
  <c r="D438" i="1"/>
  <c r="D443" i="1" s="1"/>
  <c r="D436" i="1"/>
  <c r="G439" i="1"/>
  <c r="G438" i="1"/>
  <c r="G443" i="1" s="1"/>
  <c r="G436" i="1"/>
  <c r="E443" i="1" l="1"/>
  <c r="E444" i="1"/>
  <c r="E445" i="1"/>
  <c r="E446" i="1"/>
  <c r="F444" i="1"/>
  <c r="F445" i="1"/>
  <c r="F446" i="1"/>
  <c r="D446" i="1"/>
  <c r="D445" i="1"/>
  <c r="D444" i="1"/>
  <c r="G444" i="1"/>
  <c r="G445" i="1"/>
  <c r="G446" i="1"/>
  <c r="G437" i="1"/>
  <c r="G449" i="1" l="1"/>
  <c r="G453" i="1" s="1"/>
  <c r="G448" i="1"/>
  <c r="F453" i="1" s="1"/>
  <c r="G447" i="1"/>
  <c r="E453" i="1" s="1"/>
  <c r="D457" i="1" l="1" a="1"/>
  <c r="F458" i="1" l="1"/>
  <c r="G458" i="1"/>
  <c r="E458" i="1"/>
  <c r="D457" i="1"/>
  <c r="D458" i="1" s="1"/>
  <c r="F459" i="1" l="1"/>
  <c r="F461" i="1"/>
  <c r="F462" i="1"/>
  <c r="G461" i="1"/>
  <c r="G459" i="1"/>
  <c r="G462" i="1"/>
  <c r="E459" i="1"/>
  <c r="E461" i="1"/>
  <c r="E462" i="1"/>
  <c r="D459" i="1"/>
  <c r="D462" i="1"/>
  <c r="D461" i="1"/>
  <c r="D466" i="1" l="1"/>
  <c r="D467" i="1"/>
  <c r="D468" i="1"/>
  <c r="D469" i="1"/>
  <c r="F466" i="1"/>
  <c r="G466" i="1"/>
  <c r="E466" i="1"/>
  <c r="G460" i="1"/>
  <c r="F467" i="1" l="1"/>
  <c r="F469" i="1"/>
  <c r="F468" i="1"/>
  <c r="G468" i="1"/>
  <c r="G467" i="1"/>
  <c r="G469" i="1"/>
  <c r="E469" i="1"/>
  <c r="G472" i="1" s="1"/>
  <c r="G476" i="1" s="1"/>
  <c r="E468" i="1"/>
  <c r="G471" i="1" s="1"/>
  <c r="F476" i="1" s="1"/>
  <c r="E467" i="1"/>
  <c r="G470" i="1" s="1"/>
  <c r="E476" i="1" s="1"/>
  <c r="D480" i="1" l="1" a="1"/>
  <c r="D480" i="1" l="1"/>
  <c r="D481" i="1" s="1"/>
  <c r="D485" i="1" s="1"/>
  <c r="E481" i="1"/>
  <c r="G481" i="1"/>
  <c r="F481" i="1"/>
  <c r="F485" i="1"/>
  <c r="F484" i="1"/>
  <c r="F489" i="1" s="1"/>
  <c r="F482" i="1"/>
  <c r="D484" i="1"/>
  <c r="D482" i="1"/>
  <c r="D489" i="1" l="1"/>
  <c r="E482" i="1"/>
  <c r="E485" i="1"/>
  <c r="E484" i="1"/>
  <c r="E489" i="1" s="1"/>
  <c r="G484" i="1"/>
  <c r="G489" i="1" s="1"/>
  <c r="G485" i="1"/>
  <c r="G482" i="1"/>
  <c r="G483" i="1" s="1"/>
  <c r="G12" i="1" s="1"/>
  <c r="F490" i="1"/>
  <c r="F491" i="1"/>
  <c r="F492" i="1"/>
  <c r="D490" i="1"/>
  <c r="D491" i="1"/>
  <c r="D492" i="1"/>
  <c r="G491" i="1" l="1"/>
  <c r="G490" i="1"/>
  <c r="G492" i="1"/>
  <c r="E491" i="1"/>
  <c r="G494" i="1" s="1"/>
  <c r="E490" i="1"/>
  <c r="E492" i="1"/>
  <c r="G493" i="1" l="1"/>
  <c r="G49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<sst xmlns="http://schemas.openxmlformats.org/spreadsheetml/2006/main" count="616" uniqueCount="35">
  <si>
    <t>Input 1</t>
  </si>
  <si>
    <t>Input 2</t>
  </si>
  <si>
    <t>https://www.youtube.com/watch?v=fjfZZ6S1ad4&amp;list=PLDs5gxU1J5CIt5kIiQLC3RBOAKnUAo412</t>
  </si>
  <si>
    <t>AND GATE</t>
  </si>
  <si>
    <t>Inputs</t>
  </si>
  <si>
    <t>Cost</t>
  </si>
  <si>
    <t>b</t>
  </si>
  <si>
    <t>w_1</t>
  </si>
  <si>
    <t>w_2</t>
  </si>
  <si>
    <t>x_1</t>
  </si>
  <si>
    <t>x_2</t>
  </si>
  <si>
    <t>z_3</t>
  </si>
  <si>
    <t>a_3</t>
  </si>
  <si>
    <t>Outputs</t>
  </si>
  <si>
    <t>Target</t>
  </si>
  <si>
    <t>Y</t>
  </si>
  <si>
    <t>Loss</t>
  </si>
  <si>
    <t>MSE</t>
  </si>
  <si>
    <t>Derivatives</t>
  </si>
  <si>
    <t>SE</t>
  </si>
  <si>
    <t>∂C/∂A[1]</t>
  </si>
  <si>
    <t>∂A[1]/∂z[1]</t>
  </si>
  <si>
    <t>dz = ∂C/∂A[1]*∂A[1]/∂z[1]</t>
  </si>
  <si>
    <t>∂z[1]/∂b[1]</t>
  </si>
  <si>
    <t>∂Z[1]/∂W[1]</t>
  </si>
  <si>
    <t>db = dz*∂z[1]/∂W[1]</t>
  </si>
  <si>
    <t>dw = dz*∂z[1]/∂b[1]</t>
  </si>
  <si>
    <t>Updates</t>
  </si>
  <si>
    <t>db_update</t>
  </si>
  <si>
    <t>dw1_update</t>
  </si>
  <si>
    <t>dw2_update</t>
  </si>
  <si>
    <t>Parameters</t>
  </si>
  <si>
    <t>Learning Rate</t>
  </si>
  <si>
    <t>step</t>
  </si>
  <si>
    <t>Cost at step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</si>
</sst>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#,##0.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2FFD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" fontId="0" fillId="2" borderId="3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66" fontId="0" fillId="2" borderId="0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6" fontId="0" fillId="3" borderId="2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6" fontId="3" fillId="4" borderId="2" xfId="0" applyNumberFormat="1" applyFont="1" applyFill="1" applyBorder="1" applyAlignment="1">
      <alignment horizontal="center"/>
    </xf>
    <xf numFmtId="0" fontId="2" fillId="0" borderId="0" xfId="0" applyFont="1"/>
    <xf numFmtId="0" fontId="0" fillId="7" borderId="0" xfId="0" applyFill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16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8" borderId="4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FF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190500</xdr:colOff>
      <xdr:row>0</xdr:row>
      <xdr:rowOff>165100</xdr:rowOff>
    </xdr:from>
    <xdr:ext cx="3911600" cy="2082799"/>
    <xdr:grpSp>
      <xdr:nvGrpSpPr>
        <xdr:cNvPr id="22" name="Shape 2" title="Drawing">
          <a:extLst>
            <a:ext uri="{FF2B5EF4-FFF2-40B4-BE49-F238E27FC236}">
              <a16:creationId xmlns:a16="http://schemas.microsoft.com/office/drawing/2014/main" id="{B20581F1-311B-DD4A-9A8B-3ACCA06D3919}"/>
            </a:ext>
          </a:extLst>
        </xdr:cNvPr>
        <xdr:cNvGrpSpPr/>
      </xdr:nvGrpSpPr>
      <xdr:grpSpPr>
        <a:xfrm>
          <a:off x="6468341" y="165100"/>
          <a:ext cx="3911600" cy="2082799"/>
          <a:chOff x="906050" y="764225"/>
          <a:chExt cx="4587600" cy="2699350"/>
        </a:xfrm>
      </xdr:grpSpPr>
      <xdr:sp macro="" textlink="">
        <xdr:nvSpPr>
          <xdr:cNvPr id="23" name="Shape 13">
            <a:extLst>
              <a:ext uri="{FF2B5EF4-FFF2-40B4-BE49-F238E27FC236}">
                <a16:creationId xmlns:a16="http://schemas.microsoft.com/office/drawing/2014/main" id="{DD32F8C3-94CB-BEFD-49D4-52EF3D4AA0E0}"/>
              </a:ext>
            </a:extLst>
          </xdr:cNvPr>
          <xdr:cNvSpPr/>
        </xdr:nvSpPr>
        <xdr:spPr>
          <a:xfrm>
            <a:off x="906050" y="854075"/>
            <a:ext cx="1061700" cy="9255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Input 1</a:t>
            </a:r>
            <a:endParaRPr sz="1200"/>
          </a:p>
        </xdr:txBody>
      </xdr:sp>
      <xdr:sp macro="" textlink="">
        <xdr:nvSpPr>
          <xdr:cNvPr id="24" name="Shape 14">
            <a:extLst>
              <a:ext uri="{FF2B5EF4-FFF2-40B4-BE49-F238E27FC236}">
                <a16:creationId xmlns:a16="http://schemas.microsoft.com/office/drawing/2014/main" id="{B51CC1F4-453E-FAE0-C2E0-9847AEB583D0}"/>
              </a:ext>
            </a:extLst>
          </xdr:cNvPr>
          <xdr:cNvSpPr/>
        </xdr:nvSpPr>
        <xdr:spPr>
          <a:xfrm>
            <a:off x="906050" y="2538075"/>
            <a:ext cx="1061700" cy="9255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Input 2</a:t>
            </a:r>
            <a:endParaRPr sz="1200"/>
          </a:p>
        </xdr:txBody>
      </xdr:sp>
      <xdr:sp macro="" textlink="">
        <xdr:nvSpPr>
          <xdr:cNvPr id="25" name="Shape 15">
            <a:extLst>
              <a:ext uri="{FF2B5EF4-FFF2-40B4-BE49-F238E27FC236}">
                <a16:creationId xmlns:a16="http://schemas.microsoft.com/office/drawing/2014/main" id="{5B5BFB9F-2EA9-DB6B-F3A7-3FB87655E189}"/>
              </a:ext>
            </a:extLst>
          </xdr:cNvPr>
          <xdr:cNvSpPr/>
        </xdr:nvSpPr>
        <xdr:spPr>
          <a:xfrm>
            <a:off x="4185050" y="1695200"/>
            <a:ext cx="1308600" cy="925500"/>
          </a:xfrm>
          <a:prstGeom prst="ellipse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Output 3</a:t>
            </a:r>
            <a:endParaRPr sz="1200"/>
          </a:p>
        </xdr:txBody>
      </xdr:sp>
      <xdr:sp macro="" textlink="">
        <xdr:nvSpPr>
          <xdr:cNvPr id="26" name="Shape 16">
            <a:extLst>
              <a:ext uri="{FF2B5EF4-FFF2-40B4-BE49-F238E27FC236}">
                <a16:creationId xmlns:a16="http://schemas.microsoft.com/office/drawing/2014/main" id="{C3519DD3-3C51-E10F-B31B-C34338BA237B}"/>
              </a:ext>
            </a:extLst>
          </xdr:cNvPr>
          <xdr:cNvSpPr txBox="1"/>
        </xdr:nvSpPr>
        <xdr:spPr>
          <a:xfrm>
            <a:off x="4295500" y="764225"/>
            <a:ext cx="8571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Bias</a:t>
            </a:r>
            <a:br>
              <a:rPr lang="en-US" sz="1200"/>
            </a:br>
            <a:endParaRPr sz="1200"/>
          </a:p>
        </xdr:txBody>
      </xdr:sp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6A60B2D4-D64F-B9FB-5193-ED249E9D1918}"/>
              </a:ext>
            </a:extLst>
          </xdr:cNvPr>
          <xdr:cNvCxnSpPr/>
        </xdr:nvCxnSpPr>
        <xdr:spPr>
          <a:xfrm>
            <a:off x="4724050" y="1164425"/>
            <a:ext cx="115200" cy="53070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28" name="Shape 18">
            <a:extLst>
              <a:ext uri="{FF2B5EF4-FFF2-40B4-BE49-F238E27FC236}">
                <a16:creationId xmlns:a16="http://schemas.microsoft.com/office/drawing/2014/main" id="{C9D13DA8-C6EA-0BFE-0263-EFC95702E78A}"/>
              </a:ext>
            </a:extLst>
          </xdr:cNvPr>
          <xdr:cNvCxnSpPr/>
        </xdr:nvCxnSpPr>
        <xdr:spPr>
          <a:xfrm rot="10800000" flipH="1">
            <a:off x="1967750" y="2157825"/>
            <a:ext cx="2217300" cy="843000"/>
          </a:xfrm>
          <a:prstGeom prst="straightConnector1">
            <a:avLst/>
          </a:prstGeom>
          <a:noFill/>
          <a:ln w="38100" cap="flat" cmpd="sng">
            <a:solidFill>
              <a:srgbClr val="0000FF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1A497EE3-C3E7-7498-603C-3F165D3FA7E2}"/>
              </a:ext>
            </a:extLst>
          </xdr:cNvPr>
          <xdr:cNvCxnSpPr/>
        </xdr:nvCxnSpPr>
        <xdr:spPr>
          <a:xfrm>
            <a:off x="1967750" y="1316825"/>
            <a:ext cx="2217300" cy="841200"/>
          </a:xfrm>
          <a:prstGeom prst="straightConnector1">
            <a:avLst/>
          </a:prstGeom>
          <a:noFill/>
          <a:ln w="38100" cap="flat" cmpd="sng">
            <a:solidFill>
              <a:srgbClr val="FF99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30" name="Shape 20">
            <a:extLst>
              <a:ext uri="{FF2B5EF4-FFF2-40B4-BE49-F238E27FC236}">
                <a16:creationId xmlns:a16="http://schemas.microsoft.com/office/drawing/2014/main" id="{CA56B898-7078-D879-59A0-CCA3A37FC225}"/>
              </a:ext>
            </a:extLst>
          </xdr:cNvPr>
          <xdr:cNvSpPr txBox="1"/>
        </xdr:nvSpPr>
        <xdr:spPr>
          <a:xfrm>
            <a:off x="2217900" y="1040525"/>
            <a:ext cx="1149001" cy="609043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Weight 1</a:t>
            </a:r>
            <a:endParaRPr sz="1200"/>
          </a:p>
        </xdr:txBody>
      </xdr:sp>
      <xdr:sp macro="" textlink="">
        <xdr:nvSpPr>
          <xdr:cNvPr id="31" name="Shape 21">
            <a:extLst>
              <a:ext uri="{FF2B5EF4-FFF2-40B4-BE49-F238E27FC236}">
                <a16:creationId xmlns:a16="http://schemas.microsoft.com/office/drawing/2014/main" id="{AA5EB193-51EF-2C74-E10A-98BC75D57407}"/>
              </a:ext>
            </a:extLst>
          </xdr:cNvPr>
          <xdr:cNvSpPr txBox="1"/>
        </xdr:nvSpPr>
        <xdr:spPr>
          <a:xfrm>
            <a:off x="2308199" y="2239700"/>
            <a:ext cx="968400" cy="609043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Weight 2</a:t>
            </a:r>
            <a:endParaRPr sz="1200"/>
          </a:p>
        </xdr:txBody>
      </xdr:sp>
    </xdr:grpSp>
    <xdr:clientData fLocksWithSheet="0"/>
  </xdr:oneCellAnchor>
  <xdr:oneCellAnchor>
    <xdr:from>
      <xdr:col>11</xdr:col>
      <xdr:colOff>12700</xdr:colOff>
      <xdr:row>1</xdr:row>
      <xdr:rowOff>0</xdr:rowOff>
    </xdr:from>
    <xdr:ext cx="4127500" cy="1771650"/>
    <xdr:pic>
      <xdr:nvPicPr>
        <xdr:cNvPr id="40" name="image2.png" title="Image">
          <a:extLst>
            <a:ext uri="{FF2B5EF4-FFF2-40B4-BE49-F238E27FC236}">
              <a16:creationId xmlns:a16="http://schemas.microsoft.com/office/drawing/2014/main" id="{CA52422A-D886-A641-9981-A0DCAE3BF08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23600" y="203200"/>
          <a:ext cx="4127500" cy="17716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12700</xdr:colOff>
      <xdr:row>1</xdr:row>
      <xdr:rowOff>0</xdr:rowOff>
    </xdr:from>
    <xdr:ext cx="1962150" cy="1866900"/>
    <xdr:pic>
      <xdr:nvPicPr>
        <xdr:cNvPr id="41" name="image1.png" title="Image">
          <a:extLst>
            <a:ext uri="{FF2B5EF4-FFF2-40B4-BE49-F238E27FC236}">
              <a16:creationId xmlns:a16="http://schemas.microsoft.com/office/drawing/2014/main" id="{030D6A1E-780E-9D44-A6E9-1870C521C2D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47100" y="203200"/>
          <a:ext cx="1962150" cy="18669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akis/Downloads/Neural%20Networks%20and%20Backpropagation%20Template.xlsx" TargetMode="External"/><Relationship Id="rId1" Type="http://schemas.openxmlformats.org/officeDocument/2006/relationships/externalLinkPath" Target="/Users/takis/Downloads/Neural%20Networks%20and%20Backpropagation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eractive AND"/>
      <sheetName val="Train AND"/>
      <sheetName val="Train XOR Template"/>
      <sheetName val="Interactive Deep XOR"/>
      <sheetName val="Train Deep XOR"/>
      <sheetName val="Train Deep 1 bit adder"/>
    </sheetNames>
    <sheetDataSet>
      <sheetData sheetId="0"/>
      <sheetData sheetId="1">
        <row r="11">
          <cell r="T11">
            <v>-100</v>
          </cell>
        </row>
        <row r="12">
          <cell r="T12">
            <v>-100</v>
          </cell>
        </row>
        <row r="13">
          <cell r="T13">
            <v>1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B758-BFC6-324B-AE09-143AB856FB8D}">
  <dimension ref="A1:EQ495"/>
  <sheetViews>
    <sheetView showGridLines="0" tabSelected="1" zoomScale="88" workbookViewId="0">
      <selection activeCell="C7" sqref="C7"/>
    </sheetView>
  </sheetViews>
  <sheetFormatPr baseColWidth="10" defaultRowHeight="16" x14ac:dyDescent="0.2"/>
  <cols>
    <col min="1" max="1" width="10.83203125" style="1"/>
    <col min="2" max="4" width="23.83203125" style="1" customWidth="1"/>
    <col min="5" max="5" width="23.5" style="1" bestFit="1" customWidth="1"/>
    <col min="6" max="16384" width="10.83203125" style="1"/>
  </cols>
  <sheetData>
    <row r="1" spans="1:147" x14ac:dyDescent="0.2">
      <c r="A1" s="3" t="s">
        <v>2</v>
      </c>
    </row>
    <row r="3" spans="1:147" ht="17" thickBot="1" x14ac:dyDescent="0.25"/>
    <row r="4" spans="1:147" ht="17" thickBot="1" x14ac:dyDescent="0.25">
      <c r="B4" s="51" t="s">
        <v>3</v>
      </c>
      <c r="C4" s="41"/>
      <c r="D4" s="42"/>
    </row>
    <row r="5" spans="1:147" ht="17" thickBot="1" x14ac:dyDescent="0.25">
      <c r="B5" s="52" t="s">
        <v>0</v>
      </c>
      <c r="C5" s="53" t="s">
        <v>1</v>
      </c>
      <c r="D5" s="54" t="s">
        <v>14</v>
      </c>
    </row>
    <row r="6" spans="1:147" x14ac:dyDescent="0.2">
      <c r="B6" s="43">
        <v>0</v>
      </c>
      <c r="C6" s="44">
        <v>0</v>
      </c>
      <c r="D6" s="45">
        <f>--AND(B6,C6)</f>
        <v>0</v>
      </c>
    </row>
    <row r="7" spans="1:147" x14ac:dyDescent="0.2">
      <c r="B7" s="43">
        <v>0</v>
      </c>
      <c r="C7" s="44">
        <v>1</v>
      </c>
      <c r="D7" s="45">
        <f t="shared" ref="D7:D9" si="0">--AND(B7,C7)</f>
        <v>0</v>
      </c>
    </row>
    <row r="8" spans="1:147" x14ac:dyDescent="0.2">
      <c r="B8" s="43">
        <v>1</v>
      </c>
      <c r="C8" s="44">
        <v>0</v>
      </c>
      <c r="D8" s="45">
        <f t="shared" si="0"/>
        <v>0</v>
      </c>
    </row>
    <row r="9" spans="1:147" ht="17" thickBot="1" x14ac:dyDescent="0.25">
      <c r="B9" s="46">
        <v>1</v>
      </c>
      <c r="C9" s="47">
        <v>1</v>
      </c>
      <c r="D9" s="48">
        <f t="shared" si="0"/>
        <v>1</v>
      </c>
    </row>
    <row r="11" spans="1:147" x14ac:dyDescent="0.2">
      <c r="G11" s="50" t="s">
        <v>34</v>
      </c>
    </row>
    <row r="12" spans="1:147" x14ac:dyDescent="0.2">
      <c r="B12" s="2" t="s">
        <v>32</v>
      </c>
      <c r="C12" s="40">
        <v>10</v>
      </c>
      <c r="G12" s="49">
        <f>G483</f>
        <v>0.12894213336943697</v>
      </c>
    </row>
    <row r="13" spans="1:147" x14ac:dyDescent="0.2">
      <c r="I13"/>
      <c r="J13"/>
      <c r="K13"/>
      <c r="L13"/>
      <c r="M13"/>
      <c r="N13"/>
      <c r="O13"/>
      <c r="P13"/>
      <c r="Q13"/>
      <c r="R13"/>
    </row>
    <row r="14" spans="1:147" x14ac:dyDescent="0.2">
      <c r="B14" s="31" t="s">
        <v>31</v>
      </c>
      <c r="C14" s="32"/>
      <c r="D14" s="32"/>
      <c r="E14" s="32"/>
      <c r="F14" s="32"/>
      <c r="G14" s="32"/>
      <c r="I14"/>
      <c r="J14"/>
      <c r="K14"/>
      <c r="L14"/>
      <c r="M14"/>
      <c r="N14"/>
      <c r="O14"/>
      <c r="P14"/>
      <c r="Q14"/>
      <c r="R14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</row>
    <row r="15" spans="1:147" x14ac:dyDescent="0.2">
      <c r="B15" s="36" t="s">
        <v>33</v>
      </c>
      <c r="C15" s="33"/>
      <c r="D15" s="33"/>
      <c r="E15" s="36" t="s">
        <v>6</v>
      </c>
      <c r="F15" s="36" t="s">
        <v>7</v>
      </c>
      <c r="G15" s="36" t="s">
        <v>8</v>
      </c>
      <c r="I15"/>
      <c r="J15"/>
      <c r="K15"/>
      <c r="L15"/>
      <c r="M15"/>
      <c r="N15"/>
      <c r="O15"/>
      <c r="P15"/>
      <c r="Q15"/>
      <c r="R15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</row>
    <row r="16" spans="1:147" x14ac:dyDescent="0.2">
      <c r="B16" s="37">
        <v>1</v>
      </c>
      <c r="C16" s="34"/>
      <c r="D16" s="34"/>
      <c r="E16" s="35">
        <v>1</v>
      </c>
      <c r="F16" s="35">
        <v>-2</v>
      </c>
      <c r="G16" s="35">
        <v>3</v>
      </c>
      <c r="I16"/>
      <c r="J16"/>
      <c r="K16"/>
      <c r="L16"/>
      <c r="M16"/>
      <c r="N16"/>
      <c r="O16"/>
      <c r="P16"/>
      <c r="Q16"/>
      <c r="R16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</row>
    <row r="17" spans="2:147" x14ac:dyDescent="0.2">
      <c r="B17" s="4" t="s">
        <v>14</v>
      </c>
      <c r="C17" s="4" t="s">
        <v>15</v>
      </c>
      <c r="D17" s="5" cm="1">
        <f t="array" ref="D17:G17">TRANSPOSE($D$6:$D$9)</f>
        <v>0</v>
      </c>
      <c r="E17" s="5">
        <v>0</v>
      </c>
      <c r="F17" s="5">
        <v>0</v>
      </c>
      <c r="G17" s="5">
        <v>1</v>
      </c>
      <c r="I17"/>
      <c r="J17"/>
      <c r="K17"/>
      <c r="L17"/>
      <c r="M17"/>
      <c r="N17"/>
      <c r="O17"/>
      <c r="P17"/>
      <c r="Q17"/>
      <c r="R17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</row>
    <row r="18" spans="2:147" x14ac:dyDescent="0.2">
      <c r="B18" s="11" t="s">
        <v>4</v>
      </c>
      <c r="C18" s="11" t="s">
        <v>9</v>
      </c>
      <c r="D18" s="12" cm="1">
        <f t="array" ref="D18:G19">TRANSPOSE($B$6:$C$9)</f>
        <v>0</v>
      </c>
      <c r="E18" s="12">
        <v>0</v>
      </c>
      <c r="F18" s="12">
        <v>1</v>
      </c>
      <c r="G18" s="12">
        <v>1</v>
      </c>
      <c r="I18"/>
      <c r="J18"/>
      <c r="K18"/>
      <c r="L18"/>
      <c r="M18"/>
      <c r="N18"/>
      <c r="O18"/>
      <c r="P18"/>
      <c r="Q18"/>
      <c r="R18"/>
    </row>
    <row r="19" spans="2:147" x14ac:dyDescent="0.2">
      <c r="B19" s="15"/>
      <c r="C19" s="13" t="s">
        <v>10</v>
      </c>
      <c r="D19" s="14">
        <v>0</v>
      </c>
      <c r="E19" s="14">
        <v>1</v>
      </c>
      <c r="F19" s="14">
        <v>0</v>
      </c>
      <c r="G19" s="14">
        <v>1</v>
      </c>
      <c r="I19"/>
      <c r="J19"/>
      <c r="K19"/>
      <c r="L19"/>
      <c r="M19"/>
      <c r="N19"/>
      <c r="O19"/>
      <c r="P19"/>
      <c r="Q19"/>
      <c r="R19"/>
    </row>
    <row r="20" spans="2:147" x14ac:dyDescent="0.2">
      <c r="B20" s="6" t="s">
        <v>13</v>
      </c>
      <c r="C20" s="6" t="s">
        <v>11</v>
      </c>
      <c r="D20" s="7" cm="1">
        <f t="array" ref="D20:G20">MMULT(F16:G16,_xlfn.ANCHORARRAY(D18))+E16</f>
        <v>1</v>
      </c>
      <c r="E20" s="7">
        <v>4</v>
      </c>
      <c r="F20" s="7">
        <v>-1</v>
      </c>
      <c r="G20" s="7">
        <v>2</v>
      </c>
      <c r="I20"/>
      <c r="J20"/>
      <c r="K20"/>
      <c r="L20"/>
      <c r="M20"/>
      <c r="N20"/>
      <c r="O20"/>
      <c r="P20"/>
      <c r="Q20"/>
      <c r="R20"/>
    </row>
    <row r="21" spans="2:147" x14ac:dyDescent="0.2">
      <c r="B21" s="5"/>
      <c r="C21" s="4" t="s">
        <v>12</v>
      </c>
      <c r="D21" s="8">
        <f>1/(1+EXP(-D20))</f>
        <v>0.7310585786300049</v>
      </c>
      <c r="E21" s="8">
        <f>1/(1+EXP(-E20))</f>
        <v>0.98201379003790845</v>
      </c>
      <c r="F21" s="8">
        <f>1/(1+EXP(-F20))</f>
        <v>0.2689414213699951</v>
      </c>
      <c r="G21" s="8">
        <f>1/(1+EXP(-G20))</f>
        <v>0.88079707797788231</v>
      </c>
      <c r="I21"/>
      <c r="J21"/>
      <c r="K21"/>
      <c r="L21"/>
      <c r="M21"/>
      <c r="N21"/>
      <c r="O21"/>
      <c r="P21"/>
      <c r="Q21"/>
      <c r="R21"/>
    </row>
    <row r="22" spans="2:147" x14ac:dyDescent="0.2">
      <c r="B22" s="9" t="s">
        <v>16</v>
      </c>
      <c r="C22" s="9" t="s">
        <v>19</v>
      </c>
      <c r="D22" s="10">
        <f>POWER(D21-D17,2)</f>
        <v>0.53444664538852305</v>
      </c>
      <c r="E22" s="10">
        <f t="shared" ref="E22:G22" si="1">POWER(E21-E17,2)</f>
        <v>0.96435108382461732</v>
      </c>
      <c r="F22" s="10">
        <f t="shared" si="1"/>
        <v>7.2329488128513253E-2</v>
      </c>
      <c r="G22" s="10">
        <f t="shared" si="1"/>
        <v>1.420933661861107E-2</v>
      </c>
      <c r="I22"/>
      <c r="J22"/>
      <c r="K22"/>
      <c r="L22"/>
      <c r="M22"/>
      <c r="N22"/>
      <c r="O22"/>
      <c r="P22"/>
      <c r="Q22"/>
      <c r="R22"/>
    </row>
    <row r="23" spans="2:147" x14ac:dyDescent="0.2">
      <c r="B23" s="22" t="s">
        <v>5</v>
      </c>
      <c r="C23" s="22" t="s">
        <v>17</v>
      </c>
      <c r="D23" s="23"/>
      <c r="E23" s="23"/>
      <c r="F23" s="23"/>
      <c r="G23" s="38">
        <f>SUM(D22:G22)</f>
        <v>1.5853365539602646</v>
      </c>
      <c r="M23"/>
      <c r="N23"/>
      <c r="O23"/>
      <c r="P23"/>
    </row>
    <row r="24" spans="2:147" x14ac:dyDescent="0.2">
      <c r="B24" s="2" t="s">
        <v>18</v>
      </c>
      <c r="C24" s="9" t="s">
        <v>20</v>
      </c>
      <c r="D24" s="10">
        <f>2*(D21-D17)</f>
        <v>1.4621171572600098</v>
      </c>
      <c r="E24" s="10">
        <f t="shared" ref="E24:G24" si="2">2*(E21-E17)</f>
        <v>1.9640275800758169</v>
      </c>
      <c r="F24" s="10">
        <f t="shared" si="2"/>
        <v>0.53788284273999021</v>
      </c>
      <c r="G24" s="10">
        <f t="shared" si="2"/>
        <v>-0.23840584404423537</v>
      </c>
      <c r="M24"/>
      <c r="N24"/>
      <c r="O24"/>
      <c r="P24"/>
    </row>
    <row r="25" spans="2:147" x14ac:dyDescent="0.2">
      <c r="C25" s="4" t="s">
        <v>21</v>
      </c>
      <c r="D25" s="8">
        <f>D21*(1-D21)</f>
        <v>0.19661193324148185</v>
      </c>
      <c r="E25" s="8">
        <f t="shared" ref="E25:G25" si="3">E21*(1-E21)</f>
        <v>1.7662706213291107E-2</v>
      </c>
      <c r="F25" s="8">
        <f t="shared" si="3"/>
        <v>0.19661193324148185</v>
      </c>
      <c r="G25" s="8">
        <f t="shared" si="3"/>
        <v>0.10499358540350662</v>
      </c>
      <c r="K25"/>
      <c r="L25"/>
      <c r="M25"/>
      <c r="N25"/>
      <c r="O25"/>
      <c r="P25"/>
    </row>
    <row r="26" spans="2:147" x14ac:dyDescent="0.2">
      <c r="C26" s="9" t="s">
        <v>23</v>
      </c>
      <c r="D26" s="17">
        <v>1</v>
      </c>
      <c r="E26" s="17">
        <v>1</v>
      </c>
      <c r="F26" s="17">
        <v>1</v>
      </c>
      <c r="G26" s="17">
        <v>1</v>
      </c>
      <c r="M26"/>
      <c r="N26"/>
      <c r="O26"/>
      <c r="P26"/>
    </row>
    <row r="27" spans="2:147" x14ac:dyDescent="0.2">
      <c r="B27" s="16"/>
      <c r="C27" s="11" t="s">
        <v>24</v>
      </c>
      <c r="D27" s="12" cm="1">
        <f t="array" ref="D27:G28">_xlfn.ANCHORARRAY(D18)</f>
        <v>0</v>
      </c>
      <c r="E27" s="12">
        <v>0</v>
      </c>
      <c r="F27" s="12">
        <v>1</v>
      </c>
      <c r="G27" s="12">
        <v>1</v>
      </c>
      <c r="M27"/>
      <c r="N27"/>
      <c r="O27"/>
      <c r="P27"/>
    </row>
    <row r="28" spans="2:147" x14ac:dyDescent="0.2">
      <c r="B28" s="16"/>
      <c r="C28" s="13"/>
      <c r="D28" s="14">
        <v>0</v>
      </c>
      <c r="E28" s="14">
        <v>1</v>
      </c>
      <c r="F28" s="14">
        <v>0</v>
      </c>
      <c r="G28" s="14">
        <v>1</v>
      </c>
      <c r="M28"/>
      <c r="N28"/>
      <c r="O28"/>
      <c r="P28"/>
    </row>
    <row r="29" spans="2:147" x14ac:dyDescent="0.2">
      <c r="C29" s="9" t="s">
        <v>22</v>
      </c>
      <c r="D29" s="18">
        <f>D24*D25</f>
        <v>0.28746968091443026</v>
      </c>
      <c r="E29" s="18">
        <f t="shared" ref="E29:G29" si="4">E24*E25</f>
        <v>3.4690042141680227E-2</v>
      </c>
      <c r="F29" s="18">
        <f t="shared" si="4"/>
        <v>0.10575418556853343</v>
      </c>
      <c r="G29" s="18">
        <f t="shared" si="4"/>
        <v>-2.5031084347353506E-2</v>
      </c>
      <c r="M29"/>
      <c r="N29"/>
      <c r="O29"/>
      <c r="P29"/>
    </row>
    <row r="30" spans="2:147" x14ac:dyDescent="0.2">
      <c r="C30" s="9" t="s">
        <v>25</v>
      </c>
      <c r="D30" s="10">
        <f>D29*D26</f>
        <v>0.28746968091443026</v>
      </c>
      <c r="E30" s="10">
        <f t="shared" ref="E30:G30" si="5">E29*E26</f>
        <v>3.4690042141680227E-2</v>
      </c>
      <c r="F30" s="10">
        <f t="shared" si="5"/>
        <v>0.10575418556853343</v>
      </c>
      <c r="G30" s="10">
        <f t="shared" si="5"/>
        <v>-2.5031084347353506E-2</v>
      </c>
      <c r="M30"/>
      <c r="N30"/>
      <c r="O30"/>
      <c r="P30"/>
    </row>
    <row r="31" spans="2:147" x14ac:dyDescent="0.2">
      <c r="B31" s="30"/>
      <c r="C31" s="19" t="s">
        <v>26</v>
      </c>
      <c r="D31" s="20">
        <f>D29*D27</f>
        <v>0</v>
      </c>
      <c r="E31" s="20">
        <f t="shared" ref="E31:G31" si="6">E29*E27</f>
        <v>0</v>
      </c>
      <c r="F31" s="20">
        <f t="shared" si="6"/>
        <v>0.10575418556853343</v>
      </c>
      <c r="G31" s="20">
        <f t="shared" si="6"/>
        <v>-2.5031084347353506E-2</v>
      </c>
      <c r="M31"/>
      <c r="N31"/>
      <c r="O31"/>
      <c r="P31"/>
    </row>
    <row r="32" spans="2:147" x14ac:dyDescent="0.2">
      <c r="B32" s="15"/>
      <c r="C32" s="15"/>
      <c r="D32" s="21">
        <f>D29*D28</f>
        <v>0</v>
      </c>
      <c r="E32" s="21">
        <f t="shared" ref="E32:G32" si="7">E29*E28</f>
        <v>3.4690042141680227E-2</v>
      </c>
      <c r="F32" s="21">
        <f t="shared" si="7"/>
        <v>0</v>
      </c>
      <c r="G32" s="21">
        <f t="shared" si="7"/>
        <v>-2.5031084347353506E-2</v>
      </c>
      <c r="K32"/>
      <c r="L32"/>
      <c r="M32"/>
      <c r="N32"/>
      <c r="O32"/>
      <c r="P32"/>
    </row>
    <row r="33" spans="2:16" x14ac:dyDescent="0.2">
      <c r="B33" s="25" t="s">
        <v>27</v>
      </c>
      <c r="C33" s="25" t="s">
        <v>28</v>
      </c>
      <c r="D33" s="24"/>
      <c r="E33" s="24"/>
      <c r="F33" s="24"/>
      <c r="G33" s="26">
        <f>AVERAGE(D30:G30)</f>
        <v>0.10072070606932261</v>
      </c>
      <c r="K33"/>
      <c r="L33"/>
      <c r="M33"/>
      <c r="N33"/>
      <c r="O33"/>
      <c r="P33"/>
    </row>
    <row r="34" spans="2:16" x14ac:dyDescent="0.2">
      <c r="B34" s="24"/>
      <c r="C34" s="25" t="s">
        <v>29</v>
      </c>
      <c r="D34" s="24"/>
      <c r="E34" s="24"/>
      <c r="F34" s="24"/>
      <c r="G34" s="26">
        <f>AVERAGE(D31:G31)</f>
        <v>2.0180775305294982E-2</v>
      </c>
      <c r="K34"/>
      <c r="L34"/>
      <c r="M34"/>
      <c r="N34"/>
      <c r="O34"/>
      <c r="P34"/>
    </row>
    <row r="35" spans="2:16" x14ac:dyDescent="0.2">
      <c r="B35" s="27"/>
      <c r="C35" s="28" t="s">
        <v>30</v>
      </c>
      <c r="D35" s="27"/>
      <c r="E35" s="27"/>
      <c r="F35" s="27"/>
      <c r="G35" s="29">
        <f>AVERAGE(D32:G32)</f>
        <v>2.4147394485816804E-3</v>
      </c>
      <c r="K35"/>
      <c r="L35"/>
      <c r="M35"/>
      <c r="N35"/>
      <c r="O35"/>
      <c r="P35"/>
    </row>
    <row r="37" spans="2:16" x14ac:dyDescent="0.2">
      <c r="B37" s="31" t="s">
        <v>31</v>
      </c>
      <c r="C37" s="32"/>
      <c r="D37" s="32"/>
      <c r="E37" s="32"/>
      <c r="F37" s="32"/>
      <c r="G37" s="32"/>
    </row>
    <row r="38" spans="2:16" x14ac:dyDescent="0.2">
      <c r="B38" s="36" t="s">
        <v>33</v>
      </c>
      <c r="C38" s="33"/>
      <c r="D38" s="33"/>
      <c r="E38" s="36" t="s">
        <v>6</v>
      </c>
      <c r="F38" s="36" t="s">
        <v>7</v>
      </c>
      <c r="G38" s="36" t="s">
        <v>8</v>
      </c>
    </row>
    <row r="39" spans="2:16" x14ac:dyDescent="0.2">
      <c r="B39" s="37">
        <f>B16+1</f>
        <v>2</v>
      </c>
      <c r="C39" s="34"/>
      <c r="D39" s="34"/>
      <c r="E39" s="35">
        <f>E16-lr*G33</f>
        <v>-7.207060693226186E-3</v>
      </c>
      <c r="F39" s="35">
        <f>F16-lr*G34</f>
        <v>-2.2018077530529498</v>
      </c>
      <c r="G39" s="35">
        <f>G16-lr*G35</f>
        <v>2.9758526055141834</v>
      </c>
    </row>
    <row r="40" spans="2:16" x14ac:dyDescent="0.2">
      <c r="B40" s="4" t="s">
        <v>14</v>
      </c>
      <c r="C40" s="4" t="s">
        <v>15</v>
      </c>
      <c r="D40" s="5" cm="1">
        <f t="array" ref="D40:G40">TRANSPOSE($D$6:$D$9)</f>
        <v>0</v>
      </c>
      <c r="E40" s="5">
        <v>0</v>
      </c>
      <c r="F40" s="5">
        <v>0</v>
      </c>
      <c r="G40" s="5">
        <v>1</v>
      </c>
    </row>
    <row r="41" spans="2:16" x14ac:dyDescent="0.2">
      <c r="B41" s="11" t="s">
        <v>4</v>
      </c>
      <c r="C41" s="11" t="s">
        <v>9</v>
      </c>
      <c r="D41" s="12" cm="1">
        <f t="array" ref="D41:G42">TRANSPOSE($B$6:$C$9)</f>
        <v>0</v>
      </c>
      <c r="E41" s="12">
        <v>0</v>
      </c>
      <c r="F41" s="12">
        <v>1</v>
      </c>
      <c r="G41" s="12">
        <v>1</v>
      </c>
    </row>
    <row r="42" spans="2:16" x14ac:dyDescent="0.2">
      <c r="B42" s="15"/>
      <c r="C42" s="13" t="s">
        <v>10</v>
      </c>
      <c r="D42" s="14">
        <v>0</v>
      </c>
      <c r="E42" s="14">
        <v>1</v>
      </c>
      <c r="F42" s="14">
        <v>0</v>
      </c>
      <c r="G42" s="14">
        <v>1</v>
      </c>
    </row>
    <row r="43" spans="2:16" x14ac:dyDescent="0.2">
      <c r="B43" s="6" t="s">
        <v>13</v>
      </c>
      <c r="C43" s="6" t="s">
        <v>11</v>
      </c>
      <c r="D43" s="7" cm="1">
        <f t="array" ref="D43:G43">MMULT(F39:G39,_xlfn.ANCHORARRAY(D41))+E39</f>
        <v>-7.207060693226186E-3</v>
      </c>
      <c r="E43" s="7">
        <v>2.9686455448209572</v>
      </c>
      <c r="F43" s="7">
        <v>-2.209014813746176</v>
      </c>
      <c r="G43" s="7">
        <v>0.76683779176800737</v>
      </c>
    </row>
    <row r="44" spans="2:16" x14ac:dyDescent="0.2">
      <c r="B44" s="5"/>
      <c r="C44" s="4" t="s">
        <v>12</v>
      </c>
      <c r="D44" s="8">
        <f>1/(1+EXP(-D43))</f>
        <v>0.49819824262555201</v>
      </c>
      <c r="E44" s="8">
        <f>1/(1+EXP(-E43))</f>
        <v>0.95113736704419294</v>
      </c>
      <c r="F44" s="8">
        <f>1/(1+EXP(-F43))</f>
        <v>9.8943871758073121E-2</v>
      </c>
      <c r="G44" s="8">
        <f>1/(1+EXP(-G43))</f>
        <v>0.68283644795870568</v>
      </c>
    </row>
    <row r="45" spans="2:16" x14ac:dyDescent="0.2">
      <c r="B45" s="9" t="s">
        <v>16</v>
      </c>
      <c r="C45" s="9" t="s">
        <v>19</v>
      </c>
      <c r="D45" s="10">
        <f>POWER(D44-D40,2)</f>
        <v>0.2482014889551884</v>
      </c>
      <c r="E45" s="10">
        <f t="shared" ref="E45:G45" si="8">POWER(E44-E40,2)</f>
        <v>0.90466229098775985</v>
      </c>
      <c r="F45" s="10">
        <f t="shared" si="8"/>
        <v>9.7898897584780195E-3</v>
      </c>
      <c r="G45" s="10">
        <f t="shared" si="8"/>
        <v>0.10059271874345081</v>
      </c>
    </row>
    <row r="46" spans="2:16" x14ac:dyDescent="0.2">
      <c r="B46" s="22" t="s">
        <v>5</v>
      </c>
      <c r="C46" s="22" t="s">
        <v>17</v>
      </c>
      <c r="D46" s="23"/>
      <c r="E46" s="23"/>
      <c r="F46" s="23"/>
      <c r="G46" s="38">
        <f>SUM(D45:G45)</f>
        <v>1.263246388444877</v>
      </c>
    </row>
    <row r="47" spans="2:16" x14ac:dyDescent="0.2">
      <c r="B47" s="2" t="s">
        <v>18</v>
      </c>
      <c r="C47" s="9" t="s">
        <v>20</v>
      </c>
      <c r="D47" s="10">
        <f>2*(D44-D40)</f>
        <v>0.99639648525110402</v>
      </c>
      <c r="E47" s="10">
        <f t="shared" ref="E47:G47" si="9">2*(E44-E40)</f>
        <v>1.9022747340883859</v>
      </c>
      <c r="F47" s="10">
        <f t="shared" si="9"/>
        <v>0.19788774351614624</v>
      </c>
      <c r="G47" s="10">
        <f t="shared" si="9"/>
        <v>-0.63432710408258863</v>
      </c>
    </row>
    <row r="48" spans="2:16" x14ac:dyDescent="0.2">
      <c r="C48" s="4" t="s">
        <v>21</v>
      </c>
      <c r="D48" s="8">
        <f>D44*(1-D44)</f>
        <v>0.24999675367036361</v>
      </c>
      <c r="E48" s="8">
        <f t="shared" ref="E48:G48" si="10">E44*(1-E44)</f>
        <v>4.647507605643314E-2</v>
      </c>
      <c r="F48" s="8">
        <f t="shared" si="10"/>
        <v>8.9153981999595108E-2</v>
      </c>
      <c r="G48" s="8">
        <f t="shared" si="10"/>
        <v>0.21657083329784352</v>
      </c>
    </row>
    <row r="49" spans="2:7" x14ac:dyDescent="0.2">
      <c r="C49" s="9" t="s">
        <v>23</v>
      </c>
      <c r="D49" s="17">
        <v>1</v>
      </c>
      <c r="E49" s="17">
        <v>1</v>
      </c>
      <c r="F49" s="17">
        <v>1</v>
      </c>
      <c r="G49" s="17">
        <v>1</v>
      </c>
    </row>
    <row r="50" spans="2:7" x14ac:dyDescent="0.2">
      <c r="B50" s="16"/>
      <c r="C50" s="11" t="s">
        <v>24</v>
      </c>
      <c r="D50" s="12" cm="1">
        <f t="array" ref="D50:G51">_xlfn.ANCHORARRAY(D41)</f>
        <v>0</v>
      </c>
      <c r="E50" s="12">
        <v>0</v>
      </c>
      <c r="F50" s="12">
        <v>1</v>
      </c>
      <c r="G50" s="12">
        <v>1</v>
      </c>
    </row>
    <row r="51" spans="2:7" x14ac:dyDescent="0.2">
      <c r="B51" s="16"/>
      <c r="C51" s="13"/>
      <c r="D51" s="14">
        <v>0</v>
      </c>
      <c r="E51" s="14">
        <v>1</v>
      </c>
      <c r="F51" s="14">
        <v>0</v>
      </c>
      <c r="G51" s="14">
        <v>1</v>
      </c>
    </row>
    <row r="52" spans="2:7" x14ac:dyDescent="0.2">
      <c r="C52" s="9" t="s">
        <v>22</v>
      </c>
      <c r="D52" s="18">
        <f>D47*D48</f>
        <v>0.24909588668133634</v>
      </c>
      <c r="E52" s="18">
        <f t="shared" ref="E52:G52" si="11">E47*E48</f>
        <v>8.8408362946988867E-2</v>
      </c>
      <c r="F52" s="18">
        <f t="shared" si="11"/>
        <v>1.7642480323378996E-2</v>
      </c>
      <c r="G52" s="18">
        <f t="shared" si="11"/>
        <v>-0.13737674951457413</v>
      </c>
    </row>
    <row r="53" spans="2:7" x14ac:dyDescent="0.2">
      <c r="C53" s="9" t="s">
        <v>25</v>
      </c>
      <c r="D53" s="10">
        <f>D52*D49</f>
        <v>0.24909588668133634</v>
      </c>
      <c r="E53" s="10">
        <f t="shared" ref="E53" si="12">E52*E49</f>
        <v>8.8408362946988867E-2</v>
      </c>
      <c r="F53" s="10">
        <f t="shared" ref="F53" si="13">F52*F49</f>
        <v>1.7642480323378996E-2</v>
      </c>
      <c r="G53" s="10">
        <f t="shared" ref="G53" si="14">G52*G49</f>
        <v>-0.13737674951457413</v>
      </c>
    </row>
    <row r="54" spans="2:7" x14ac:dyDescent="0.2">
      <c r="B54" s="30"/>
      <c r="C54" s="19" t="s">
        <v>26</v>
      </c>
      <c r="D54" s="20">
        <f>D52*D50</f>
        <v>0</v>
      </c>
      <c r="E54" s="20">
        <f t="shared" ref="E54:G54" si="15">E52*E50</f>
        <v>0</v>
      </c>
      <c r="F54" s="20">
        <f t="shared" si="15"/>
        <v>1.7642480323378996E-2</v>
      </c>
      <c r="G54" s="20">
        <f t="shared" si="15"/>
        <v>-0.13737674951457413</v>
      </c>
    </row>
    <row r="55" spans="2:7" x14ac:dyDescent="0.2">
      <c r="B55" s="15"/>
      <c r="C55" s="15"/>
      <c r="D55" s="21">
        <f>D52*D51</f>
        <v>0</v>
      </c>
      <c r="E55" s="21">
        <f t="shared" ref="E55:G55" si="16">E52*E51</f>
        <v>8.8408362946988867E-2</v>
      </c>
      <c r="F55" s="21">
        <f t="shared" si="16"/>
        <v>0</v>
      </c>
      <c r="G55" s="21">
        <f t="shared" si="16"/>
        <v>-0.13737674951457413</v>
      </c>
    </row>
    <row r="56" spans="2:7" x14ac:dyDescent="0.2">
      <c r="B56" s="25" t="s">
        <v>27</v>
      </c>
      <c r="C56" s="25" t="s">
        <v>28</v>
      </c>
      <c r="D56" s="24"/>
      <c r="E56" s="24"/>
      <c r="F56" s="24"/>
      <c r="G56" s="26">
        <f>AVERAGE(D53:G53)</f>
        <v>5.4442495109282521E-2</v>
      </c>
    </row>
    <row r="57" spans="2:7" x14ac:dyDescent="0.2">
      <c r="B57" s="24"/>
      <c r="C57" s="25" t="s">
        <v>29</v>
      </c>
      <c r="D57" s="24"/>
      <c r="E57" s="24"/>
      <c r="F57" s="24"/>
      <c r="G57" s="26">
        <f>AVERAGE(D54:G54)</f>
        <v>-2.9933567297798783E-2</v>
      </c>
    </row>
    <row r="58" spans="2:7" x14ac:dyDescent="0.2">
      <c r="B58" s="27"/>
      <c r="C58" s="28" t="s">
        <v>30</v>
      </c>
      <c r="D58" s="27"/>
      <c r="E58" s="27"/>
      <c r="F58" s="27"/>
      <c r="G58" s="29">
        <f>AVERAGE(D55:G55)</f>
        <v>-1.2242096641896315E-2</v>
      </c>
    </row>
    <row r="60" spans="2:7" x14ac:dyDescent="0.2">
      <c r="B60" s="31" t="s">
        <v>31</v>
      </c>
      <c r="C60" s="32"/>
      <c r="D60" s="32"/>
      <c r="E60" s="32"/>
      <c r="F60" s="32"/>
      <c r="G60" s="32"/>
    </row>
    <row r="61" spans="2:7" x14ac:dyDescent="0.2">
      <c r="B61" s="36" t="s">
        <v>33</v>
      </c>
      <c r="C61" s="33"/>
      <c r="D61" s="33"/>
      <c r="E61" s="36" t="s">
        <v>6</v>
      </c>
      <c r="F61" s="36" t="s">
        <v>7</v>
      </c>
      <c r="G61" s="36" t="s">
        <v>8</v>
      </c>
    </row>
    <row r="62" spans="2:7" x14ac:dyDescent="0.2">
      <c r="B62" s="37">
        <f>B39+1</f>
        <v>3</v>
      </c>
      <c r="C62" s="34"/>
      <c r="D62" s="34"/>
      <c r="E62" s="35">
        <f>E39-lr*G56</f>
        <v>-0.55163201178605137</v>
      </c>
      <c r="F62" s="35">
        <f>F39-lr*G57</f>
        <v>-1.9024720800749619</v>
      </c>
      <c r="G62" s="35">
        <f>G39-lr*G58</f>
        <v>3.0982735719331465</v>
      </c>
    </row>
    <row r="63" spans="2:7" x14ac:dyDescent="0.2">
      <c r="B63" s="4" t="s">
        <v>14</v>
      </c>
      <c r="C63" s="4" t="s">
        <v>15</v>
      </c>
      <c r="D63" s="5" cm="1">
        <f t="array" ref="D63:G63">TRANSPOSE($D$6:$D$9)</f>
        <v>0</v>
      </c>
      <c r="E63" s="5">
        <v>0</v>
      </c>
      <c r="F63" s="5">
        <v>0</v>
      </c>
      <c r="G63" s="5">
        <v>1</v>
      </c>
    </row>
    <row r="64" spans="2:7" x14ac:dyDescent="0.2">
      <c r="B64" s="11" t="s">
        <v>4</v>
      </c>
      <c r="C64" s="11" t="s">
        <v>9</v>
      </c>
      <c r="D64" s="12" cm="1">
        <f t="array" ref="D64:G65">TRANSPOSE($B$6:$C$9)</f>
        <v>0</v>
      </c>
      <c r="E64" s="12">
        <v>0</v>
      </c>
      <c r="F64" s="12">
        <v>1</v>
      </c>
      <c r="G64" s="12">
        <v>1</v>
      </c>
    </row>
    <row r="65" spans="2:7" x14ac:dyDescent="0.2">
      <c r="B65" s="15"/>
      <c r="C65" s="13" t="s">
        <v>10</v>
      </c>
      <c r="D65" s="14">
        <v>0</v>
      </c>
      <c r="E65" s="14">
        <v>1</v>
      </c>
      <c r="F65" s="14">
        <v>0</v>
      </c>
      <c r="G65" s="14">
        <v>1</v>
      </c>
    </row>
    <row r="66" spans="2:7" x14ac:dyDescent="0.2">
      <c r="B66" s="6" t="s">
        <v>13</v>
      </c>
      <c r="C66" s="6" t="s">
        <v>11</v>
      </c>
      <c r="D66" s="7" cm="1">
        <f t="array" ref="D66:G66">MMULT(F62:G62,_xlfn.ANCHORARRAY(D64))+E62</f>
        <v>-0.55163201178605137</v>
      </c>
      <c r="E66" s="7">
        <v>2.5466415601470951</v>
      </c>
      <c r="F66" s="7">
        <v>-2.4541040918610131</v>
      </c>
      <c r="G66" s="7">
        <v>0.64416948007213315</v>
      </c>
    </row>
    <row r="67" spans="2:7" x14ac:dyDescent="0.2">
      <c r="B67" s="5"/>
      <c r="C67" s="4" t="s">
        <v>12</v>
      </c>
      <c r="D67" s="8">
        <f>1/(1+EXP(-D66))</f>
        <v>0.3654858527351032</v>
      </c>
      <c r="E67" s="8">
        <f>1/(1+EXP(-E66))</f>
        <v>0.92734756741826418</v>
      </c>
      <c r="F67" s="8">
        <f>1/(1+EXP(-F66))</f>
        <v>7.9138942431767653E-2</v>
      </c>
      <c r="G67" s="8">
        <f>1/(1+EXP(-G66))</f>
        <v>0.65569536815156604</v>
      </c>
    </row>
    <row r="68" spans="2:7" x14ac:dyDescent="0.2">
      <c r="B68" s="9" t="s">
        <v>16</v>
      </c>
      <c r="C68" s="9" t="s">
        <v>19</v>
      </c>
      <c r="D68" s="10">
        <f>POWER(D67-D63,2)</f>
        <v>0.13357990854950555</v>
      </c>
      <c r="E68" s="10">
        <f t="shared" ref="E68:G68" si="17">POWER(E67-E63,2)</f>
        <v>0.85997351079657203</v>
      </c>
      <c r="F68" s="10">
        <f t="shared" si="17"/>
        <v>6.2629722092186349E-3</v>
      </c>
      <c r="G68" s="10">
        <f t="shared" si="17"/>
        <v>0.11854567951228565</v>
      </c>
    </row>
    <row r="69" spans="2:7" x14ac:dyDescent="0.2">
      <c r="B69" s="22" t="s">
        <v>5</v>
      </c>
      <c r="C69" s="22" t="s">
        <v>17</v>
      </c>
      <c r="D69" s="23"/>
      <c r="E69" s="23"/>
      <c r="F69" s="23"/>
      <c r="G69" s="38">
        <f>SUM(D68:G68)</f>
        <v>1.1183620710675819</v>
      </c>
    </row>
    <row r="70" spans="2:7" x14ac:dyDescent="0.2">
      <c r="B70" s="2" t="s">
        <v>18</v>
      </c>
      <c r="C70" s="9" t="s">
        <v>20</v>
      </c>
      <c r="D70" s="10">
        <f>2*(D67-D63)</f>
        <v>0.7309717054702064</v>
      </c>
      <c r="E70" s="10">
        <f t="shared" ref="E70:G70" si="18">2*(E67-E63)</f>
        <v>1.8546951348365284</v>
      </c>
      <c r="F70" s="10">
        <f t="shared" si="18"/>
        <v>0.15827788486353531</v>
      </c>
      <c r="G70" s="10">
        <f t="shared" si="18"/>
        <v>-0.68860926369686792</v>
      </c>
    </row>
    <row r="71" spans="2:7" x14ac:dyDescent="0.2">
      <c r="C71" s="4" t="s">
        <v>21</v>
      </c>
      <c r="D71" s="8">
        <f>D67*(1-D67)</f>
        <v>0.23190594418559762</v>
      </c>
      <c r="E71" s="8">
        <f t="shared" ref="E71:G71" si="19">E67*(1-E67)</f>
        <v>6.7374056621692144E-2</v>
      </c>
      <c r="F71" s="8">
        <f t="shared" si="19"/>
        <v>7.2875970222549019E-2</v>
      </c>
      <c r="G71" s="8">
        <f t="shared" si="19"/>
        <v>0.22575895233614832</v>
      </c>
    </row>
    <row r="72" spans="2:7" x14ac:dyDescent="0.2">
      <c r="C72" s="9" t="s">
        <v>23</v>
      </c>
      <c r="D72" s="17">
        <v>1</v>
      </c>
      <c r="E72" s="17">
        <v>1</v>
      </c>
      <c r="F72" s="17">
        <v>1</v>
      </c>
      <c r="G72" s="17">
        <v>1</v>
      </c>
    </row>
    <row r="73" spans="2:7" x14ac:dyDescent="0.2">
      <c r="B73" s="16"/>
      <c r="C73" s="11" t="s">
        <v>24</v>
      </c>
      <c r="D73" s="12" cm="1">
        <f t="array" ref="D73:G74">_xlfn.ANCHORARRAY(D64)</f>
        <v>0</v>
      </c>
      <c r="E73" s="12">
        <v>0</v>
      </c>
      <c r="F73" s="12">
        <v>1</v>
      </c>
      <c r="G73" s="12">
        <v>1</v>
      </c>
    </row>
    <row r="74" spans="2:7" x14ac:dyDescent="0.2">
      <c r="B74" s="16"/>
      <c r="C74" s="13"/>
      <c r="D74" s="14">
        <v>0</v>
      </c>
      <c r="E74" s="14">
        <v>1</v>
      </c>
      <c r="F74" s="14">
        <v>0</v>
      </c>
      <c r="G74" s="14">
        <v>1</v>
      </c>
    </row>
    <row r="75" spans="2:7" x14ac:dyDescent="0.2">
      <c r="C75" s="9" t="s">
        <v>22</v>
      </c>
      <c r="D75" s="18">
        <f>D70*D71</f>
        <v>0.1695166835300248</v>
      </c>
      <c r="E75" s="18">
        <f t="shared" ref="E75:G75" si="20">E70*E71</f>
        <v>0.12495833503045321</v>
      </c>
      <c r="F75" s="18">
        <f t="shared" si="20"/>
        <v>1.1534654424203041E-2</v>
      </c>
      <c r="G75" s="18">
        <f t="shared" si="20"/>
        <v>-0.15545970594117139</v>
      </c>
    </row>
    <row r="76" spans="2:7" x14ac:dyDescent="0.2">
      <c r="C76" s="9" t="s">
        <v>25</v>
      </c>
      <c r="D76" s="10">
        <f>D75*D72</f>
        <v>0.1695166835300248</v>
      </c>
      <c r="E76" s="10">
        <f t="shared" ref="E76" si="21">E75*E72</f>
        <v>0.12495833503045321</v>
      </c>
      <c r="F76" s="10">
        <f t="shared" ref="F76" si="22">F75*F72</f>
        <v>1.1534654424203041E-2</v>
      </c>
      <c r="G76" s="10">
        <f t="shared" ref="G76" si="23">G75*G72</f>
        <v>-0.15545970594117139</v>
      </c>
    </row>
    <row r="77" spans="2:7" x14ac:dyDescent="0.2">
      <c r="B77" s="30"/>
      <c r="C77" s="19" t="s">
        <v>26</v>
      </c>
      <c r="D77" s="20">
        <f>D75*D73</f>
        <v>0</v>
      </c>
      <c r="E77" s="20">
        <f t="shared" ref="E77:G77" si="24">E75*E73</f>
        <v>0</v>
      </c>
      <c r="F77" s="20">
        <f t="shared" si="24"/>
        <v>1.1534654424203041E-2</v>
      </c>
      <c r="G77" s="20">
        <f t="shared" si="24"/>
        <v>-0.15545970594117139</v>
      </c>
    </row>
    <row r="78" spans="2:7" x14ac:dyDescent="0.2">
      <c r="B78" s="15"/>
      <c r="C78" s="15"/>
      <c r="D78" s="21">
        <f>D75*D74</f>
        <v>0</v>
      </c>
      <c r="E78" s="21">
        <f t="shared" ref="E78:G78" si="25">E75*E74</f>
        <v>0.12495833503045321</v>
      </c>
      <c r="F78" s="21">
        <f t="shared" si="25"/>
        <v>0</v>
      </c>
      <c r="G78" s="21">
        <f t="shared" si="25"/>
        <v>-0.15545970594117139</v>
      </c>
    </row>
    <row r="79" spans="2:7" x14ac:dyDescent="0.2">
      <c r="B79" s="25" t="s">
        <v>27</v>
      </c>
      <c r="C79" s="25" t="s">
        <v>28</v>
      </c>
      <c r="D79" s="24"/>
      <c r="E79" s="24"/>
      <c r="F79" s="24"/>
      <c r="G79" s="26">
        <f>AVERAGE(D76:G76)</f>
        <v>3.7637491760877419E-2</v>
      </c>
    </row>
    <row r="80" spans="2:7" x14ac:dyDescent="0.2">
      <c r="B80" s="24"/>
      <c r="C80" s="25" t="s">
        <v>29</v>
      </c>
      <c r="D80" s="24"/>
      <c r="E80" s="24"/>
      <c r="F80" s="24"/>
      <c r="G80" s="26">
        <f>AVERAGE(D77:G77)</f>
        <v>-3.5981262879242089E-2</v>
      </c>
    </row>
    <row r="81" spans="2:7" x14ac:dyDescent="0.2">
      <c r="B81" s="27"/>
      <c r="C81" s="28" t="s">
        <v>30</v>
      </c>
      <c r="D81" s="27"/>
      <c r="E81" s="27"/>
      <c r="F81" s="27"/>
      <c r="G81" s="29">
        <f>AVERAGE(D78:G78)</f>
        <v>-7.6253427276795453E-3</v>
      </c>
    </row>
    <row r="83" spans="2:7" x14ac:dyDescent="0.2">
      <c r="B83" s="31" t="s">
        <v>31</v>
      </c>
      <c r="C83" s="32"/>
      <c r="D83" s="32"/>
      <c r="E83" s="32"/>
      <c r="F83" s="32"/>
      <c r="G83" s="32"/>
    </row>
    <row r="84" spans="2:7" x14ac:dyDescent="0.2">
      <c r="B84" s="36" t="s">
        <v>33</v>
      </c>
      <c r="C84" s="33"/>
      <c r="D84" s="33"/>
      <c r="E84" s="36" t="s">
        <v>6</v>
      </c>
      <c r="F84" s="36" t="s">
        <v>7</v>
      </c>
      <c r="G84" s="36" t="s">
        <v>8</v>
      </c>
    </row>
    <row r="85" spans="2:7" x14ac:dyDescent="0.2">
      <c r="B85" s="37">
        <f>B62+1</f>
        <v>4</v>
      </c>
      <c r="C85" s="34"/>
      <c r="D85" s="34"/>
      <c r="E85" s="35">
        <f>E62-lr*G79</f>
        <v>-0.92800692939482554</v>
      </c>
      <c r="F85" s="35">
        <f>F62-lr*G80</f>
        <v>-1.5426594512825411</v>
      </c>
      <c r="G85" s="35">
        <f>G62-lr*G81</f>
        <v>3.1745269992099421</v>
      </c>
    </row>
    <row r="86" spans="2:7" x14ac:dyDescent="0.2">
      <c r="B86" s="4" t="s">
        <v>14</v>
      </c>
      <c r="C86" s="4" t="s">
        <v>15</v>
      </c>
      <c r="D86" s="5" cm="1">
        <f t="array" ref="D86:G86">TRANSPOSE($D$6:$D$9)</f>
        <v>0</v>
      </c>
      <c r="E86" s="5">
        <v>0</v>
      </c>
      <c r="F86" s="5">
        <v>0</v>
      </c>
      <c r="G86" s="5">
        <v>1</v>
      </c>
    </row>
    <row r="87" spans="2:7" x14ac:dyDescent="0.2">
      <c r="B87" s="11" t="s">
        <v>4</v>
      </c>
      <c r="C87" s="11" t="s">
        <v>9</v>
      </c>
      <c r="D87" s="12" cm="1">
        <f t="array" ref="D87:G88">TRANSPOSE($B$6:$C$9)</f>
        <v>0</v>
      </c>
      <c r="E87" s="12">
        <v>0</v>
      </c>
      <c r="F87" s="12">
        <v>1</v>
      </c>
      <c r="G87" s="12">
        <v>1</v>
      </c>
    </row>
    <row r="88" spans="2:7" x14ac:dyDescent="0.2">
      <c r="B88" s="15"/>
      <c r="C88" s="13" t="s">
        <v>10</v>
      </c>
      <c r="D88" s="14">
        <v>0</v>
      </c>
      <c r="E88" s="14">
        <v>1</v>
      </c>
      <c r="F88" s="14">
        <v>0</v>
      </c>
      <c r="G88" s="14">
        <v>1</v>
      </c>
    </row>
    <row r="89" spans="2:7" x14ac:dyDescent="0.2">
      <c r="B89" s="6" t="s">
        <v>13</v>
      </c>
      <c r="C89" s="6" t="s">
        <v>11</v>
      </c>
      <c r="D89" s="7" cm="1">
        <f t="array" ref="D89:G89">MMULT(F85:G85,_xlfn.ANCHORARRAY(D87))+E85</f>
        <v>-0.92800692939482554</v>
      </c>
      <c r="E89" s="7">
        <v>2.2465200698151166</v>
      </c>
      <c r="F89" s="7">
        <v>-2.4706663806773665</v>
      </c>
      <c r="G89" s="7">
        <v>0.70386061853257542</v>
      </c>
    </row>
    <row r="90" spans="2:7" x14ac:dyDescent="0.2">
      <c r="B90" s="5"/>
      <c r="C90" s="4" t="s">
        <v>12</v>
      </c>
      <c r="D90" s="8">
        <f>1/(1+EXP(-D89))</f>
        <v>0.28332924020656658</v>
      </c>
      <c r="E90" s="8">
        <f>1/(1+EXP(-E89))</f>
        <v>0.90434994049570661</v>
      </c>
      <c r="F90" s="8">
        <f>1/(1+EXP(-F89))</f>
        <v>7.7940331786699887E-2</v>
      </c>
      <c r="G90" s="8">
        <f>1/(1+EXP(-G89))</f>
        <v>0.6690431645194812</v>
      </c>
    </row>
    <row r="91" spans="2:7" x14ac:dyDescent="0.2">
      <c r="B91" s="9" t="s">
        <v>16</v>
      </c>
      <c r="C91" s="9" t="s">
        <v>19</v>
      </c>
      <c r="D91" s="10">
        <f>POWER(D90-D86,2)</f>
        <v>8.027545835603031E-2</v>
      </c>
      <c r="E91" s="10">
        <f t="shared" ref="E91:G91" si="26">POWER(E90-E86,2)</f>
        <v>0.81784881487458805</v>
      </c>
      <c r="F91" s="10">
        <f t="shared" si="26"/>
        <v>6.0746953190208607E-3</v>
      </c>
      <c r="G91" s="10">
        <f t="shared" si="26"/>
        <v>0.10953242695127918</v>
      </c>
    </row>
    <row r="92" spans="2:7" x14ac:dyDescent="0.2">
      <c r="B92" s="22" t="s">
        <v>5</v>
      </c>
      <c r="C92" s="22" t="s">
        <v>17</v>
      </c>
      <c r="D92" s="23"/>
      <c r="E92" s="23"/>
      <c r="F92" s="23"/>
      <c r="G92" s="38">
        <f>SUM(D91:G91)</f>
        <v>1.0137313955009184</v>
      </c>
    </row>
    <row r="93" spans="2:7" x14ac:dyDescent="0.2">
      <c r="B93" s="2" t="s">
        <v>18</v>
      </c>
      <c r="C93" s="9" t="s">
        <v>20</v>
      </c>
      <c r="D93" s="10">
        <f>2*(D90-D86)</f>
        <v>0.56665848041313316</v>
      </c>
      <c r="E93" s="10">
        <f t="shared" ref="E93:G93" si="27">2*(E90-E86)</f>
        <v>1.8086998809914132</v>
      </c>
      <c r="F93" s="10">
        <f t="shared" si="27"/>
        <v>0.15588066357339977</v>
      </c>
      <c r="G93" s="10">
        <f t="shared" si="27"/>
        <v>-0.66191367096103759</v>
      </c>
    </row>
    <row r="94" spans="2:7" x14ac:dyDescent="0.2">
      <c r="C94" s="4" t="s">
        <v>21</v>
      </c>
      <c r="D94" s="8">
        <f>D90*(1-D90)</f>
        <v>0.20305378185053627</v>
      </c>
      <c r="E94" s="8">
        <f t="shared" ref="E94:G94" si="28">E90*(1-E90)</f>
        <v>8.650112562111853E-2</v>
      </c>
      <c r="F94" s="8">
        <f t="shared" si="28"/>
        <v>7.1865636467679031E-2</v>
      </c>
      <c r="G94" s="8">
        <f t="shared" si="28"/>
        <v>0.22142440852923961</v>
      </c>
    </row>
    <row r="95" spans="2:7" x14ac:dyDescent="0.2">
      <c r="C95" s="9" t="s">
        <v>23</v>
      </c>
      <c r="D95" s="17">
        <v>1</v>
      </c>
      <c r="E95" s="17">
        <v>1</v>
      </c>
      <c r="F95" s="17">
        <v>1</v>
      </c>
      <c r="G95" s="17">
        <v>1</v>
      </c>
    </row>
    <row r="96" spans="2:7" x14ac:dyDescent="0.2">
      <c r="B96" s="16"/>
      <c r="C96" s="11" t="s">
        <v>24</v>
      </c>
      <c r="D96" s="12" cm="1">
        <f t="array" ref="D96:G97">_xlfn.ANCHORARRAY(D87)</f>
        <v>0</v>
      </c>
      <c r="E96" s="12">
        <v>0</v>
      </c>
      <c r="F96" s="12">
        <v>1</v>
      </c>
      <c r="G96" s="12">
        <v>1</v>
      </c>
    </row>
    <row r="97" spans="2:7" x14ac:dyDescent="0.2">
      <c r="B97" s="16"/>
      <c r="C97" s="13"/>
      <c r="D97" s="14">
        <v>0</v>
      </c>
      <c r="E97" s="14">
        <v>1</v>
      </c>
      <c r="F97" s="14">
        <v>0</v>
      </c>
      <c r="G97" s="14">
        <v>1</v>
      </c>
    </row>
    <row r="98" spans="2:7" x14ac:dyDescent="0.2">
      <c r="C98" s="9" t="s">
        <v>22</v>
      </c>
      <c r="D98" s="18">
        <f>D93*D94</f>
        <v>0.11506214746556472</v>
      </c>
      <c r="E98" s="18">
        <f t="shared" ref="E98:G98" si="29">E93*E94</f>
        <v>0.15645457561654036</v>
      </c>
      <c r="F98" s="18">
        <f t="shared" si="29"/>
        <v>1.1202463100706526E-2</v>
      </c>
      <c r="G98" s="18">
        <f t="shared" si="29"/>
        <v>-0.14656384308996548</v>
      </c>
    </row>
    <row r="99" spans="2:7" x14ac:dyDescent="0.2">
      <c r="C99" s="9" t="s">
        <v>25</v>
      </c>
      <c r="D99" s="10">
        <f>D98*D95</f>
        <v>0.11506214746556472</v>
      </c>
      <c r="E99" s="10">
        <f t="shared" ref="E99" si="30">E98*E95</f>
        <v>0.15645457561654036</v>
      </c>
      <c r="F99" s="10">
        <f t="shared" ref="F99" si="31">F98*F95</f>
        <v>1.1202463100706526E-2</v>
      </c>
      <c r="G99" s="10">
        <f t="shared" ref="G99" si="32">G98*G95</f>
        <v>-0.14656384308996548</v>
      </c>
    </row>
    <row r="100" spans="2:7" x14ac:dyDescent="0.2">
      <c r="B100" s="30"/>
      <c r="C100" s="19" t="s">
        <v>26</v>
      </c>
      <c r="D100" s="20">
        <f>D98*D96</f>
        <v>0</v>
      </c>
      <c r="E100" s="20">
        <f t="shared" ref="E100:G100" si="33">E98*E96</f>
        <v>0</v>
      </c>
      <c r="F100" s="20">
        <f t="shared" si="33"/>
        <v>1.1202463100706526E-2</v>
      </c>
      <c r="G100" s="20">
        <f t="shared" si="33"/>
        <v>-0.14656384308996548</v>
      </c>
    </row>
    <row r="101" spans="2:7" x14ac:dyDescent="0.2">
      <c r="B101" s="15"/>
      <c r="C101" s="15"/>
      <c r="D101" s="21">
        <f>D98*D97</f>
        <v>0</v>
      </c>
      <c r="E101" s="21">
        <f t="shared" ref="E101:G101" si="34">E98*E97</f>
        <v>0.15645457561654036</v>
      </c>
      <c r="F101" s="21">
        <f t="shared" si="34"/>
        <v>0</v>
      </c>
      <c r="G101" s="21">
        <f t="shared" si="34"/>
        <v>-0.14656384308996548</v>
      </c>
    </row>
    <row r="102" spans="2:7" x14ac:dyDescent="0.2">
      <c r="B102" s="25" t="s">
        <v>27</v>
      </c>
      <c r="C102" s="25" t="s">
        <v>28</v>
      </c>
      <c r="D102" s="24"/>
      <c r="E102" s="24"/>
      <c r="F102" s="24"/>
      <c r="G102" s="26">
        <f>AVERAGE(D99:G99)</f>
        <v>3.4038835773211533E-2</v>
      </c>
    </row>
    <row r="103" spans="2:7" x14ac:dyDescent="0.2">
      <c r="B103" s="24"/>
      <c r="C103" s="25" t="s">
        <v>29</v>
      </c>
      <c r="D103" s="24"/>
      <c r="E103" s="24"/>
      <c r="F103" s="24"/>
      <c r="G103" s="26">
        <f>AVERAGE(D100:G100)</f>
        <v>-3.3840344997314739E-2</v>
      </c>
    </row>
    <row r="104" spans="2:7" x14ac:dyDescent="0.2">
      <c r="B104" s="27"/>
      <c r="C104" s="28" t="s">
        <v>30</v>
      </c>
      <c r="D104" s="27"/>
      <c r="E104" s="27"/>
      <c r="F104" s="27"/>
      <c r="G104" s="29">
        <f>AVERAGE(D101:G101)</f>
        <v>2.4726831316437201E-3</v>
      </c>
    </row>
    <row r="106" spans="2:7" x14ac:dyDescent="0.2">
      <c r="B106" s="31" t="s">
        <v>31</v>
      </c>
      <c r="C106" s="32"/>
      <c r="D106" s="32"/>
      <c r="E106" s="32"/>
      <c r="F106" s="32"/>
      <c r="G106" s="32"/>
    </row>
    <row r="107" spans="2:7" x14ac:dyDescent="0.2">
      <c r="B107" s="36" t="s">
        <v>33</v>
      </c>
      <c r="C107" s="33"/>
      <c r="D107" s="33"/>
      <c r="E107" s="36" t="s">
        <v>6</v>
      </c>
      <c r="F107" s="36" t="s">
        <v>7</v>
      </c>
      <c r="G107" s="36" t="s">
        <v>8</v>
      </c>
    </row>
    <row r="108" spans="2:7" x14ac:dyDescent="0.2">
      <c r="B108" s="37">
        <f>B85+1</f>
        <v>5</v>
      </c>
      <c r="C108" s="34"/>
      <c r="D108" s="34"/>
      <c r="E108" s="35">
        <f>E85-lr*G102</f>
        <v>-1.2683952871269408</v>
      </c>
      <c r="F108" s="35">
        <f>F85-lr*G103</f>
        <v>-1.2042560013093937</v>
      </c>
      <c r="G108" s="35">
        <f>G85-lr*G104</f>
        <v>3.1498001678935048</v>
      </c>
    </row>
    <row r="109" spans="2:7" x14ac:dyDescent="0.2">
      <c r="B109" s="4" t="s">
        <v>14</v>
      </c>
      <c r="C109" s="4" t="s">
        <v>15</v>
      </c>
      <c r="D109" s="5" cm="1">
        <f t="array" ref="D109:G109">TRANSPOSE($D$6:$D$9)</f>
        <v>0</v>
      </c>
      <c r="E109" s="5">
        <v>0</v>
      </c>
      <c r="F109" s="5">
        <v>0</v>
      </c>
      <c r="G109" s="5">
        <v>1</v>
      </c>
    </row>
    <row r="110" spans="2:7" x14ac:dyDescent="0.2">
      <c r="B110" s="11" t="s">
        <v>4</v>
      </c>
      <c r="C110" s="11" t="s">
        <v>9</v>
      </c>
      <c r="D110" s="12" cm="1">
        <f t="array" ref="D110:G111">TRANSPOSE($B$6:$C$9)</f>
        <v>0</v>
      </c>
      <c r="E110" s="12">
        <v>0</v>
      </c>
      <c r="F110" s="12">
        <v>1</v>
      </c>
      <c r="G110" s="12">
        <v>1</v>
      </c>
    </row>
    <row r="111" spans="2:7" x14ac:dyDescent="0.2">
      <c r="B111" s="15"/>
      <c r="C111" s="13" t="s">
        <v>10</v>
      </c>
      <c r="D111" s="14">
        <v>0</v>
      </c>
      <c r="E111" s="14">
        <v>1</v>
      </c>
      <c r="F111" s="14">
        <v>0</v>
      </c>
      <c r="G111" s="14">
        <v>1</v>
      </c>
    </row>
    <row r="112" spans="2:7" x14ac:dyDescent="0.2">
      <c r="B112" s="6" t="s">
        <v>13</v>
      </c>
      <c r="C112" s="6" t="s">
        <v>11</v>
      </c>
      <c r="D112" s="7" cm="1">
        <f t="array" ref="D112:G112">MMULT(F108:G108,_xlfn.ANCHORARRAY(D110))+E108</f>
        <v>-1.2683952871269408</v>
      </c>
      <c r="E112" s="7">
        <v>1.881404880766564</v>
      </c>
      <c r="F112" s="7">
        <v>-2.4726512884363343</v>
      </c>
      <c r="G112" s="7">
        <v>0.67714887945717028</v>
      </c>
    </row>
    <row r="113" spans="2:7" x14ac:dyDescent="0.2">
      <c r="B113" s="5"/>
      <c r="C113" s="4" t="s">
        <v>12</v>
      </c>
      <c r="D113" s="8">
        <f>1/(1+EXP(-D112))</f>
        <v>0.21953207622167153</v>
      </c>
      <c r="E113" s="8">
        <f>1/(1+EXP(-E112))</f>
        <v>0.867772410634713</v>
      </c>
      <c r="F113" s="8">
        <f>1/(1+EXP(-F112))</f>
        <v>7.7797804576167598E-2</v>
      </c>
      <c r="G113" s="8">
        <f>1/(1+EXP(-G112))</f>
        <v>0.66310206006400574</v>
      </c>
    </row>
    <row r="114" spans="2:7" x14ac:dyDescent="0.2">
      <c r="B114" s="9" t="s">
        <v>16</v>
      </c>
      <c r="C114" s="9" t="s">
        <v>19</v>
      </c>
      <c r="D114" s="10">
        <f>POWER(D113-D109,2)</f>
        <v>4.8194332490197798E-2</v>
      </c>
      <c r="E114" s="10">
        <f t="shared" ref="E114:G114" si="35">POWER(E113-E109,2)</f>
        <v>0.753028956658781</v>
      </c>
      <c r="F114" s="10">
        <f t="shared" si="35"/>
        <v>6.0524983968715642E-3</v>
      </c>
      <c r="G114" s="10">
        <f t="shared" si="35"/>
        <v>0.11350022193311679</v>
      </c>
    </row>
    <row r="115" spans="2:7" x14ac:dyDescent="0.2">
      <c r="B115" s="22" t="s">
        <v>5</v>
      </c>
      <c r="C115" s="22" t="s">
        <v>17</v>
      </c>
      <c r="D115" s="23"/>
      <c r="E115" s="23"/>
      <c r="F115" s="23"/>
      <c r="G115" s="38">
        <f>SUM(D114:G114)</f>
        <v>0.92077600947896721</v>
      </c>
    </row>
    <row r="116" spans="2:7" x14ac:dyDescent="0.2">
      <c r="B116" s="2" t="s">
        <v>18</v>
      </c>
      <c r="C116" s="9" t="s">
        <v>20</v>
      </c>
      <c r="D116" s="10">
        <f>2*(D113-D109)</f>
        <v>0.43906415244334307</v>
      </c>
      <c r="E116" s="10">
        <f t="shared" ref="E116:G116" si="36">2*(E113-E109)</f>
        <v>1.735544821269426</v>
      </c>
      <c r="F116" s="10">
        <f t="shared" si="36"/>
        <v>0.1555956091523352</v>
      </c>
      <c r="G116" s="10">
        <f t="shared" si="36"/>
        <v>-0.67379587987198852</v>
      </c>
    </row>
    <row r="117" spans="2:7" x14ac:dyDescent="0.2">
      <c r="C117" s="4" t="s">
        <v>21</v>
      </c>
      <c r="D117" s="8">
        <f>D113*(1-D113)</f>
        <v>0.17133774373147376</v>
      </c>
      <c r="E117" s="8">
        <f t="shared" ref="E117:G117" si="37">E113*(1-E113)</f>
        <v>0.11474345397593204</v>
      </c>
      <c r="F117" s="8">
        <f t="shared" si="37"/>
        <v>7.1745306179296031E-2</v>
      </c>
      <c r="G117" s="8">
        <f t="shared" si="37"/>
        <v>0.22339771800287747</v>
      </c>
    </row>
    <row r="118" spans="2:7" x14ac:dyDescent="0.2">
      <c r="C118" s="9" t="s">
        <v>23</v>
      </c>
      <c r="D118" s="17">
        <v>1</v>
      </c>
      <c r="E118" s="17">
        <v>1</v>
      </c>
      <c r="F118" s="17">
        <v>1</v>
      </c>
      <c r="G118" s="17">
        <v>1</v>
      </c>
    </row>
    <row r="119" spans="2:7" x14ac:dyDescent="0.2">
      <c r="B119" s="16"/>
      <c r="C119" s="11" t="s">
        <v>24</v>
      </c>
      <c r="D119" s="12" cm="1">
        <f t="array" ref="D119:G120">_xlfn.ANCHORARRAY(D110)</f>
        <v>0</v>
      </c>
      <c r="E119" s="12">
        <v>0</v>
      </c>
      <c r="F119" s="12">
        <v>1</v>
      </c>
      <c r="G119" s="12">
        <v>1</v>
      </c>
    </row>
    <row r="120" spans="2:7" x14ac:dyDescent="0.2">
      <c r="B120" s="16"/>
      <c r="C120" s="13"/>
      <c r="D120" s="14">
        <v>0</v>
      </c>
      <c r="E120" s="14">
        <v>1</v>
      </c>
      <c r="F120" s="14">
        <v>0</v>
      </c>
      <c r="G120" s="14">
        <v>1</v>
      </c>
    </row>
    <row r="121" spans="2:7" x14ac:dyDescent="0.2">
      <c r="C121" s="9" t="s">
        <v>22</v>
      </c>
      <c r="D121" s="18">
        <f>D116*D117</f>
        <v>7.5228261233014238E-2</v>
      </c>
      <c r="E121" s="18">
        <f t="shared" ref="E121:G121" si="38">E116*E117</f>
        <v>0.19914240732249558</v>
      </c>
      <c r="F121" s="18">
        <f t="shared" si="38"/>
        <v>1.1163254618788365E-2</v>
      </c>
      <c r="G121" s="18">
        <f t="shared" si="38"/>
        <v>-0.1505244619631432</v>
      </c>
    </row>
    <row r="122" spans="2:7" x14ac:dyDescent="0.2">
      <c r="C122" s="9" t="s">
        <v>25</v>
      </c>
      <c r="D122" s="10">
        <f>D121*D118</f>
        <v>7.5228261233014238E-2</v>
      </c>
      <c r="E122" s="10">
        <f t="shared" ref="E122" si="39">E121*E118</f>
        <v>0.19914240732249558</v>
      </c>
      <c r="F122" s="10">
        <f t="shared" ref="F122" si="40">F121*F118</f>
        <v>1.1163254618788365E-2</v>
      </c>
      <c r="G122" s="10">
        <f t="shared" ref="G122" si="41">G121*G118</f>
        <v>-0.1505244619631432</v>
      </c>
    </row>
    <row r="123" spans="2:7" x14ac:dyDescent="0.2">
      <c r="B123" s="30"/>
      <c r="C123" s="19" t="s">
        <v>26</v>
      </c>
      <c r="D123" s="20">
        <f>D121*D119</f>
        <v>0</v>
      </c>
      <c r="E123" s="20">
        <f t="shared" ref="E123:G123" si="42">E121*E119</f>
        <v>0</v>
      </c>
      <c r="F123" s="20">
        <f t="shared" si="42"/>
        <v>1.1163254618788365E-2</v>
      </c>
      <c r="G123" s="20">
        <f t="shared" si="42"/>
        <v>-0.1505244619631432</v>
      </c>
    </row>
    <row r="124" spans="2:7" x14ac:dyDescent="0.2">
      <c r="B124" s="15"/>
      <c r="C124" s="15"/>
      <c r="D124" s="21">
        <f>D121*D120</f>
        <v>0</v>
      </c>
      <c r="E124" s="21">
        <f t="shared" ref="E124:G124" si="43">E121*E120</f>
        <v>0.19914240732249558</v>
      </c>
      <c r="F124" s="21">
        <f t="shared" si="43"/>
        <v>0</v>
      </c>
      <c r="G124" s="21">
        <f t="shared" si="43"/>
        <v>-0.1505244619631432</v>
      </c>
    </row>
    <row r="125" spans="2:7" x14ac:dyDescent="0.2">
      <c r="B125" s="25" t="s">
        <v>27</v>
      </c>
      <c r="C125" s="25" t="s">
        <v>28</v>
      </c>
      <c r="D125" s="24"/>
      <c r="E125" s="24"/>
      <c r="F125" s="24"/>
      <c r="G125" s="26">
        <f>AVERAGE(D122:G122)</f>
        <v>3.3752365302788752E-2</v>
      </c>
    </row>
    <row r="126" spans="2:7" x14ac:dyDescent="0.2">
      <c r="B126" s="24"/>
      <c r="C126" s="25" t="s">
        <v>29</v>
      </c>
      <c r="D126" s="24"/>
      <c r="E126" s="24"/>
      <c r="F126" s="24"/>
      <c r="G126" s="26">
        <f>AVERAGE(D123:G123)</f>
        <v>-3.4840301836088709E-2</v>
      </c>
    </row>
    <row r="127" spans="2:7" x14ac:dyDescent="0.2">
      <c r="B127" s="27"/>
      <c r="C127" s="28" t="s">
        <v>30</v>
      </c>
      <c r="D127" s="27"/>
      <c r="E127" s="27"/>
      <c r="F127" s="27"/>
      <c r="G127" s="29">
        <f>AVERAGE(D124:G124)</f>
        <v>1.2154486339838094E-2</v>
      </c>
    </row>
    <row r="129" spans="2:7" x14ac:dyDescent="0.2">
      <c r="B129" s="31" t="s">
        <v>31</v>
      </c>
      <c r="C129" s="32"/>
      <c r="D129" s="32"/>
      <c r="E129" s="32"/>
      <c r="F129" s="32"/>
      <c r="G129" s="32"/>
    </row>
    <row r="130" spans="2:7" x14ac:dyDescent="0.2">
      <c r="B130" s="36" t="s">
        <v>33</v>
      </c>
      <c r="C130" s="33"/>
      <c r="D130" s="33"/>
      <c r="E130" s="36" t="s">
        <v>6</v>
      </c>
      <c r="F130" s="36" t="s">
        <v>7</v>
      </c>
      <c r="G130" s="36" t="s">
        <v>8</v>
      </c>
    </row>
    <row r="131" spans="2:7" x14ac:dyDescent="0.2">
      <c r="B131" s="37">
        <f>B108+1</f>
        <v>6</v>
      </c>
      <c r="C131" s="34"/>
      <c r="D131" s="34"/>
      <c r="E131" s="35">
        <f>E108-lr*G125</f>
        <v>-1.6059189401548284</v>
      </c>
      <c r="F131" s="35">
        <f>F108-lr*G126</f>
        <v>-0.85585298294850665</v>
      </c>
      <c r="G131" s="35">
        <f>G108-lr*G127</f>
        <v>3.0282553044951239</v>
      </c>
    </row>
    <row r="132" spans="2:7" x14ac:dyDescent="0.2">
      <c r="B132" s="4" t="s">
        <v>14</v>
      </c>
      <c r="C132" s="4" t="s">
        <v>15</v>
      </c>
      <c r="D132" s="5" cm="1">
        <f t="array" ref="D132:G132">TRANSPOSE($D$6:$D$9)</f>
        <v>0</v>
      </c>
      <c r="E132" s="5">
        <v>0</v>
      </c>
      <c r="F132" s="5">
        <v>0</v>
      </c>
      <c r="G132" s="5">
        <v>1</v>
      </c>
    </row>
    <row r="133" spans="2:7" x14ac:dyDescent="0.2">
      <c r="B133" s="11" t="s">
        <v>4</v>
      </c>
      <c r="C133" s="11" t="s">
        <v>9</v>
      </c>
      <c r="D133" s="12" cm="1">
        <f t="array" ref="D133:G134">TRANSPOSE($B$6:$C$9)</f>
        <v>0</v>
      </c>
      <c r="E133" s="12">
        <v>0</v>
      </c>
      <c r="F133" s="12">
        <v>1</v>
      </c>
      <c r="G133" s="12">
        <v>1</v>
      </c>
    </row>
    <row r="134" spans="2:7" x14ac:dyDescent="0.2">
      <c r="B134" s="15"/>
      <c r="C134" s="13" t="s">
        <v>10</v>
      </c>
      <c r="D134" s="14">
        <v>0</v>
      </c>
      <c r="E134" s="14">
        <v>1</v>
      </c>
      <c r="F134" s="14">
        <v>0</v>
      </c>
      <c r="G134" s="14">
        <v>1</v>
      </c>
    </row>
    <row r="135" spans="2:7" x14ac:dyDescent="0.2">
      <c r="B135" s="6" t="s">
        <v>13</v>
      </c>
      <c r="C135" s="6" t="s">
        <v>11</v>
      </c>
      <c r="D135" s="7" cm="1">
        <f t="array" ref="D135:G135">MMULT(F131:G131,_xlfn.ANCHORARRAY(D133))+E131</f>
        <v>-1.6059189401548284</v>
      </c>
      <c r="E135" s="7">
        <v>1.4223363643402955</v>
      </c>
      <c r="F135" s="7">
        <v>-2.4617719231033348</v>
      </c>
      <c r="G135" s="7">
        <v>0.56648338139178889</v>
      </c>
    </row>
    <row r="136" spans="2:7" x14ac:dyDescent="0.2">
      <c r="B136" s="5"/>
      <c r="C136" s="4" t="s">
        <v>12</v>
      </c>
      <c r="D136" s="8">
        <f>1/(1+EXP(-D135))</f>
        <v>0.16715598627900569</v>
      </c>
      <c r="E136" s="8">
        <f>1/(1+EXP(-E135))</f>
        <v>0.80570442335892556</v>
      </c>
      <c r="F136" s="8">
        <f>1/(1+EXP(-F135))</f>
        <v>7.8581942010937753E-2</v>
      </c>
      <c r="G136" s="8">
        <f>1/(1+EXP(-G135))</f>
        <v>0.63795133843630891</v>
      </c>
    </row>
    <row r="137" spans="2:7" x14ac:dyDescent="0.2">
      <c r="B137" s="9" t="s">
        <v>16</v>
      </c>
      <c r="C137" s="9" t="s">
        <v>19</v>
      </c>
      <c r="D137" s="10">
        <f>POWER(D136-D132,2)</f>
        <v>2.7941123748907136E-2</v>
      </c>
      <c r="E137" s="10">
        <f t="shared" ref="E137:G137" si="44">POWER(E136-E132,2)</f>
        <v>0.64915961782013876</v>
      </c>
      <c r="F137" s="10">
        <f t="shared" si="44"/>
        <v>6.1751216102103835E-3</v>
      </c>
      <c r="G137" s="10">
        <f t="shared" si="44"/>
        <v>0.13107923334006014</v>
      </c>
    </row>
    <row r="138" spans="2:7" x14ac:dyDescent="0.2">
      <c r="B138" s="22" t="s">
        <v>5</v>
      </c>
      <c r="C138" s="22" t="s">
        <v>17</v>
      </c>
      <c r="D138" s="23"/>
      <c r="E138" s="23"/>
      <c r="F138" s="23"/>
      <c r="G138" s="38">
        <f>SUM(D137:G137)</f>
        <v>0.81435509651931637</v>
      </c>
    </row>
    <row r="139" spans="2:7" x14ac:dyDescent="0.2">
      <c r="B139" s="2" t="s">
        <v>18</v>
      </c>
      <c r="C139" s="9" t="s">
        <v>20</v>
      </c>
      <c r="D139" s="10">
        <f>2*(D136-D132)</f>
        <v>0.33431197255801137</v>
      </c>
      <c r="E139" s="10">
        <f t="shared" ref="E139:G139" si="45">2*(E136-E132)</f>
        <v>1.6114088467178511</v>
      </c>
      <c r="F139" s="10">
        <f t="shared" si="45"/>
        <v>0.15716388402187551</v>
      </c>
      <c r="G139" s="10">
        <f t="shared" si="45"/>
        <v>-0.72409732312738218</v>
      </c>
    </row>
    <row r="140" spans="2:7" x14ac:dyDescent="0.2">
      <c r="C140" s="4" t="s">
        <v>21</v>
      </c>
      <c r="D140" s="8">
        <f>D136*(1-D136)</f>
        <v>0.13921486253009854</v>
      </c>
      <c r="E140" s="8">
        <f t="shared" ref="E140:G140" si="46">E136*(1-E136)</f>
        <v>0.1565448055387868</v>
      </c>
      <c r="F140" s="8">
        <f t="shared" si="46"/>
        <v>7.2406820400727379E-2</v>
      </c>
      <c r="G140" s="8">
        <f t="shared" si="46"/>
        <v>0.23096942822363095</v>
      </c>
    </row>
    <row r="141" spans="2:7" x14ac:dyDescent="0.2">
      <c r="C141" s="9" t="s">
        <v>23</v>
      </c>
      <c r="D141" s="17">
        <v>1</v>
      </c>
      <c r="E141" s="17">
        <v>1</v>
      </c>
      <c r="F141" s="17">
        <v>1</v>
      </c>
      <c r="G141" s="17">
        <v>1</v>
      </c>
    </row>
    <row r="142" spans="2:7" x14ac:dyDescent="0.2">
      <c r="B142" s="16"/>
      <c r="C142" s="11" t="s">
        <v>24</v>
      </c>
      <c r="D142" s="12" cm="1">
        <f t="array" ref="D142:G143">_xlfn.ANCHORARRAY(D133)</f>
        <v>0</v>
      </c>
      <c r="E142" s="12">
        <v>0</v>
      </c>
      <c r="F142" s="12">
        <v>1</v>
      </c>
      <c r="G142" s="12">
        <v>1</v>
      </c>
    </row>
    <row r="143" spans="2:7" x14ac:dyDescent="0.2">
      <c r="B143" s="16"/>
      <c r="C143" s="13"/>
      <c r="D143" s="14">
        <v>0</v>
      </c>
      <c r="E143" s="14">
        <v>1</v>
      </c>
      <c r="F143" s="14">
        <v>0</v>
      </c>
      <c r="G143" s="14">
        <v>1</v>
      </c>
    </row>
    <row r="144" spans="2:7" x14ac:dyDescent="0.2">
      <c r="C144" s="9" t="s">
        <v>22</v>
      </c>
      <c r="D144" s="18">
        <f>D139*D140</f>
        <v>4.6541195301829631E-2</v>
      </c>
      <c r="E144" s="18">
        <f t="shared" ref="E144:G144" si="47">E139*E140</f>
        <v>0.25225768455292669</v>
      </c>
      <c r="F144" s="18">
        <f t="shared" si="47"/>
        <v>1.1379737123852688E-2</v>
      </c>
      <c r="G144" s="18">
        <f t="shared" si="47"/>
        <v>-0.1672443447009932</v>
      </c>
    </row>
    <row r="145" spans="2:7" x14ac:dyDescent="0.2">
      <c r="C145" s="9" t="s">
        <v>25</v>
      </c>
      <c r="D145" s="10">
        <f>D144*D141</f>
        <v>4.6541195301829631E-2</v>
      </c>
      <c r="E145" s="10">
        <f t="shared" ref="E145" si="48">E144*E141</f>
        <v>0.25225768455292669</v>
      </c>
      <c r="F145" s="10">
        <f t="shared" ref="F145" si="49">F144*F141</f>
        <v>1.1379737123852688E-2</v>
      </c>
      <c r="G145" s="10">
        <f t="shared" ref="G145" si="50">G144*G141</f>
        <v>-0.1672443447009932</v>
      </c>
    </row>
    <row r="146" spans="2:7" x14ac:dyDescent="0.2">
      <c r="B146" s="30"/>
      <c r="C146" s="19" t="s">
        <v>26</v>
      </c>
      <c r="D146" s="20">
        <f>D144*D142</f>
        <v>0</v>
      </c>
      <c r="E146" s="20">
        <f t="shared" ref="E146:G146" si="51">E144*E142</f>
        <v>0</v>
      </c>
      <c r="F146" s="20">
        <f t="shared" si="51"/>
        <v>1.1379737123852688E-2</v>
      </c>
      <c r="G146" s="20">
        <f t="shared" si="51"/>
        <v>-0.1672443447009932</v>
      </c>
    </row>
    <row r="147" spans="2:7" x14ac:dyDescent="0.2">
      <c r="B147" s="15"/>
      <c r="C147" s="15"/>
      <c r="D147" s="21">
        <f>D144*D143</f>
        <v>0</v>
      </c>
      <c r="E147" s="21">
        <f t="shared" ref="E147:G147" si="52">E144*E143</f>
        <v>0.25225768455292669</v>
      </c>
      <c r="F147" s="21">
        <f t="shared" si="52"/>
        <v>0</v>
      </c>
      <c r="G147" s="21">
        <f t="shared" si="52"/>
        <v>-0.1672443447009932</v>
      </c>
    </row>
    <row r="148" spans="2:7" x14ac:dyDescent="0.2">
      <c r="B148" s="25" t="s">
        <v>27</v>
      </c>
      <c r="C148" s="25" t="s">
        <v>28</v>
      </c>
      <c r="D148" s="24"/>
      <c r="E148" s="24"/>
      <c r="F148" s="24"/>
      <c r="G148" s="26">
        <f>AVERAGE(D145:G145)</f>
        <v>3.5733568069403962E-2</v>
      </c>
    </row>
    <row r="149" spans="2:7" x14ac:dyDescent="0.2">
      <c r="B149" s="24"/>
      <c r="C149" s="25" t="s">
        <v>29</v>
      </c>
      <c r="D149" s="24"/>
      <c r="E149" s="24"/>
      <c r="F149" s="24"/>
      <c r="G149" s="26">
        <f>AVERAGE(D146:G146)</f>
        <v>-3.896615189428513E-2</v>
      </c>
    </row>
    <row r="150" spans="2:7" x14ac:dyDescent="0.2">
      <c r="B150" s="27"/>
      <c r="C150" s="28" t="s">
        <v>30</v>
      </c>
      <c r="D150" s="27"/>
      <c r="E150" s="27"/>
      <c r="F150" s="27"/>
      <c r="G150" s="29">
        <f>AVERAGE(D147:G147)</f>
        <v>2.1253334962983372E-2</v>
      </c>
    </row>
    <row r="152" spans="2:7" x14ac:dyDescent="0.2">
      <c r="B152" s="31" t="s">
        <v>31</v>
      </c>
      <c r="C152" s="32"/>
      <c r="D152" s="32"/>
      <c r="E152" s="32"/>
      <c r="F152" s="32"/>
      <c r="G152" s="32"/>
    </row>
    <row r="153" spans="2:7" x14ac:dyDescent="0.2">
      <c r="B153" s="36" t="s">
        <v>33</v>
      </c>
      <c r="C153" s="33"/>
      <c r="D153" s="33"/>
      <c r="E153" s="36" t="s">
        <v>6</v>
      </c>
      <c r="F153" s="36" t="s">
        <v>7</v>
      </c>
      <c r="G153" s="36" t="s">
        <v>8</v>
      </c>
    </row>
    <row r="154" spans="2:7" x14ac:dyDescent="0.2">
      <c r="B154" s="37">
        <f>B131+1</f>
        <v>7</v>
      </c>
      <c r="C154" s="34"/>
      <c r="D154" s="34"/>
      <c r="E154" s="35">
        <f>E131-lr*G148</f>
        <v>-1.9632546208488679</v>
      </c>
      <c r="F154" s="35">
        <f>F131-lr*G149</f>
        <v>-0.46619146400565536</v>
      </c>
      <c r="G154" s="35">
        <f>G131-lr*G150</f>
        <v>2.8157219548652903</v>
      </c>
    </row>
    <row r="155" spans="2:7" x14ac:dyDescent="0.2">
      <c r="B155" s="4" t="s">
        <v>14</v>
      </c>
      <c r="C155" s="4" t="s">
        <v>15</v>
      </c>
      <c r="D155" s="5" cm="1">
        <f t="array" ref="D155:G155">TRANSPOSE($D$6:$D$9)</f>
        <v>0</v>
      </c>
      <c r="E155" s="5">
        <v>0</v>
      </c>
      <c r="F155" s="5">
        <v>0</v>
      </c>
      <c r="G155" s="5">
        <v>1</v>
      </c>
    </row>
    <row r="156" spans="2:7" x14ac:dyDescent="0.2">
      <c r="B156" s="11" t="s">
        <v>4</v>
      </c>
      <c r="C156" s="11" t="s">
        <v>9</v>
      </c>
      <c r="D156" s="12" cm="1">
        <f t="array" ref="D156:G157">TRANSPOSE($B$6:$C$9)</f>
        <v>0</v>
      </c>
      <c r="E156" s="12">
        <v>0</v>
      </c>
      <c r="F156" s="12">
        <v>1</v>
      </c>
      <c r="G156" s="12">
        <v>1</v>
      </c>
    </row>
    <row r="157" spans="2:7" x14ac:dyDescent="0.2">
      <c r="B157" s="15"/>
      <c r="C157" s="13" t="s">
        <v>10</v>
      </c>
      <c r="D157" s="14">
        <v>0</v>
      </c>
      <c r="E157" s="14">
        <v>1</v>
      </c>
      <c r="F157" s="14">
        <v>0</v>
      </c>
      <c r="G157" s="14">
        <v>1</v>
      </c>
    </row>
    <row r="158" spans="2:7" x14ac:dyDescent="0.2">
      <c r="B158" s="6" t="s">
        <v>13</v>
      </c>
      <c r="C158" s="6" t="s">
        <v>11</v>
      </c>
      <c r="D158" s="7" cm="1">
        <f t="array" ref="D158:G158">MMULT(F154:G154,_xlfn.ANCHORARRAY(D156))+E154</f>
        <v>-1.9632546208488679</v>
      </c>
      <c r="E158" s="7">
        <v>0.85246733401642238</v>
      </c>
      <c r="F158" s="7">
        <v>-2.4294460848545234</v>
      </c>
      <c r="G158" s="7">
        <v>0.38627587001076691</v>
      </c>
    </row>
    <row r="159" spans="2:7" x14ac:dyDescent="0.2">
      <c r="B159" s="5"/>
      <c r="C159" s="4" t="s">
        <v>12</v>
      </c>
      <c r="D159" s="8">
        <f>1/(1+EXP(-D158))</f>
        <v>0.12311525436551649</v>
      </c>
      <c r="E159" s="8">
        <f>1/(1+EXP(-E158))</f>
        <v>0.70108446582358519</v>
      </c>
      <c r="F159" s="8">
        <f>1/(1+EXP(-F158))</f>
        <v>8.0954669497544138E-2</v>
      </c>
      <c r="G159" s="8">
        <f>1/(1+EXP(-G158))</f>
        <v>0.59538587027958179</v>
      </c>
    </row>
    <row r="160" spans="2:7" x14ac:dyDescent="0.2">
      <c r="B160" s="9" t="s">
        <v>16</v>
      </c>
      <c r="C160" s="9" t="s">
        <v>19</v>
      </c>
      <c r="D160" s="10">
        <f>POWER(D159-D155,2)</f>
        <v>1.5157365857485826E-2</v>
      </c>
      <c r="E160" s="10">
        <f t="shared" ref="E160:G160" si="53">POWER(E159-E155,2)</f>
        <v>0.4915194282191418</v>
      </c>
      <c r="F160" s="10">
        <f t="shared" si="53"/>
        <v>6.5536585134566032E-3</v>
      </c>
      <c r="G160" s="10">
        <f t="shared" si="53"/>
        <v>0.16371259396941143</v>
      </c>
    </row>
    <row r="161" spans="2:7" x14ac:dyDescent="0.2">
      <c r="B161" s="22" t="s">
        <v>5</v>
      </c>
      <c r="C161" s="22" t="s">
        <v>17</v>
      </c>
      <c r="D161" s="23"/>
      <c r="E161" s="23"/>
      <c r="F161" s="23"/>
      <c r="G161" s="38">
        <f>SUM(D160:G160)</f>
        <v>0.67694304655949555</v>
      </c>
    </row>
    <row r="162" spans="2:7" x14ac:dyDescent="0.2">
      <c r="B162" s="2" t="s">
        <v>18</v>
      </c>
      <c r="C162" s="9" t="s">
        <v>20</v>
      </c>
      <c r="D162" s="10">
        <f>2*(D159-D155)</f>
        <v>0.24623050873103297</v>
      </c>
      <c r="E162" s="10">
        <f t="shared" ref="E162:G162" si="54">2*(E159-E155)</f>
        <v>1.4021689316471704</v>
      </c>
      <c r="F162" s="10">
        <f t="shared" si="54"/>
        <v>0.16190933899508828</v>
      </c>
      <c r="G162" s="10">
        <f t="shared" si="54"/>
        <v>-0.80922825944083643</v>
      </c>
    </row>
    <row r="163" spans="2:7" x14ac:dyDescent="0.2">
      <c r="C163" s="4" t="s">
        <v>21</v>
      </c>
      <c r="D163" s="8">
        <f>D159*(1-D159)</f>
        <v>0.10795788850803066</v>
      </c>
      <c r="E163" s="8">
        <f t="shared" ref="E163:G163" si="55">E159*(1-E159)</f>
        <v>0.20956503760444339</v>
      </c>
      <c r="F163" s="8">
        <f t="shared" si="55"/>
        <v>7.4401010984087537E-2</v>
      </c>
      <c r="G163" s="8">
        <f t="shared" si="55"/>
        <v>0.24090153575100678</v>
      </c>
    </row>
    <row r="164" spans="2:7" x14ac:dyDescent="0.2">
      <c r="C164" s="9" t="s">
        <v>23</v>
      </c>
      <c r="D164" s="17">
        <v>1</v>
      </c>
      <c r="E164" s="17">
        <v>1</v>
      </c>
      <c r="F164" s="17">
        <v>1</v>
      </c>
      <c r="G164" s="17">
        <v>1</v>
      </c>
    </row>
    <row r="165" spans="2:7" x14ac:dyDescent="0.2">
      <c r="B165" s="16"/>
      <c r="C165" s="11" t="s">
        <v>24</v>
      </c>
      <c r="D165" s="12" cm="1">
        <f t="array" ref="D165:G166">_xlfn.ANCHORARRAY(D156)</f>
        <v>0</v>
      </c>
      <c r="E165" s="12">
        <v>0</v>
      </c>
      <c r="F165" s="12">
        <v>1</v>
      </c>
      <c r="G165" s="12">
        <v>1</v>
      </c>
    </row>
    <row r="166" spans="2:7" x14ac:dyDescent="0.2">
      <c r="B166" s="16"/>
      <c r="C166" s="13"/>
      <c r="D166" s="14">
        <v>0</v>
      </c>
      <c r="E166" s="14">
        <v>1</v>
      </c>
      <c r="F166" s="14">
        <v>0</v>
      </c>
      <c r="G166" s="14">
        <v>1</v>
      </c>
    </row>
    <row r="167" spans="2:7" x14ac:dyDescent="0.2">
      <c r="C167" s="9" t="s">
        <v>22</v>
      </c>
      <c r="D167" s="18">
        <f>D162*D163</f>
        <v>2.6582525808860526E-2</v>
      </c>
      <c r="E167" s="18">
        <f t="shared" ref="E167:G167" si="56">E162*E163</f>
        <v>0.2938455848884215</v>
      </c>
      <c r="F167" s="18">
        <f t="shared" si="56"/>
        <v>1.2046218508999916E-2</v>
      </c>
      <c r="G167" s="18">
        <f t="shared" si="56"/>
        <v>-0.19494433047241164</v>
      </c>
    </row>
    <row r="168" spans="2:7" x14ac:dyDescent="0.2">
      <c r="C168" s="9" t="s">
        <v>25</v>
      </c>
      <c r="D168" s="10">
        <f>D167*D164</f>
        <v>2.6582525808860526E-2</v>
      </c>
      <c r="E168" s="10">
        <f t="shared" ref="E168" si="57">E167*E164</f>
        <v>0.2938455848884215</v>
      </c>
      <c r="F168" s="10">
        <f t="shared" ref="F168" si="58">F167*F164</f>
        <v>1.2046218508999916E-2</v>
      </c>
      <c r="G168" s="10">
        <f t="shared" ref="G168" si="59">G167*G164</f>
        <v>-0.19494433047241164</v>
      </c>
    </row>
    <row r="169" spans="2:7" x14ac:dyDescent="0.2">
      <c r="B169" s="30"/>
      <c r="C169" s="19" t="s">
        <v>26</v>
      </c>
      <c r="D169" s="20">
        <f>D167*D165</f>
        <v>0</v>
      </c>
      <c r="E169" s="20">
        <f t="shared" ref="E169:G169" si="60">E167*E165</f>
        <v>0</v>
      </c>
      <c r="F169" s="20">
        <f t="shared" si="60"/>
        <v>1.2046218508999916E-2</v>
      </c>
      <c r="G169" s="20">
        <f t="shared" si="60"/>
        <v>-0.19494433047241164</v>
      </c>
    </row>
    <row r="170" spans="2:7" x14ac:dyDescent="0.2">
      <c r="B170" s="15"/>
      <c r="C170" s="15"/>
      <c r="D170" s="21">
        <f>D167*D166</f>
        <v>0</v>
      </c>
      <c r="E170" s="21">
        <f t="shared" ref="E170:G170" si="61">E167*E166</f>
        <v>0.2938455848884215</v>
      </c>
      <c r="F170" s="21">
        <f t="shared" si="61"/>
        <v>0</v>
      </c>
      <c r="G170" s="21">
        <f t="shared" si="61"/>
        <v>-0.19494433047241164</v>
      </c>
    </row>
    <row r="171" spans="2:7" x14ac:dyDescent="0.2">
      <c r="B171" s="25" t="s">
        <v>27</v>
      </c>
      <c r="C171" s="25" t="s">
        <v>28</v>
      </c>
      <c r="D171" s="24"/>
      <c r="E171" s="24"/>
      <c r="F171" s="24"/>
      <c r="G171" s="26">
        <f>AVERAGE(D168:G168)</f>
        <v>3.4382499683467564E-2</v>
      </c>
    </row>
    <row r="172" spans="2:7" x14ac:dyDescent="0.2">
      <c r="B172" s="24"/>
      <c r="C172" s="25" t="s">
        <v>29</v>
      </c>
      <c r="D172" s="24"/>
      <c r="E172" s="24"/>
      <c r="F172" s="24"/>
      <c r="G172" s="26">
        <f>AVERAGE(D169:G169)</f>
        <v>-4.5724527990852928E-2</v>
      </c>
    </row>
    <row r="173" spans="2:7" x14ac:dyDescent="0.2">
      <c r="B173" s="27"/>
      <c r="C173" s="28" t="s">
        <v>30</v>
      </c>
      <c r="D173" s="27"/>
      <c r="E173" s="27"/>
      <c r="F173" s="27"/>
      <c r="G173" s="29">
        <f>AVERAGE(D170:G170)</f>
        <v>2.4725313604002465E-2</v>
      </c>
    </row>
    <row r="175" spans="2:7" x14ac:dyDescent="0.2">
      <c r="B175" s="31" t="s">
        <v>31</v>
      </c>
      <c r="C175" s="32"/>
      <c r="D175" s="32"/>
      <c r="E175" s="32"/>
      <c r="F175" s="32"/>
      <c r="G175" s="32"/>
    </row>
    <row r="176" spans="2:7" x14ac:dyDescent="0.2">
      <c r="B176" s="36" t="s">
        <v>33</v>
      </c>
      <c r="C176" s="33"/>
      <c r="D176" s="33"/>
      <c r="E176" s="36" t="s">
        <v>6</v>
      </c>
      <c r="F176" s="36" t="s">
        <v>7</v>
      </c>
      <c r="G176" s="36" t="s">
        <v>8</v>
      </c>
    </row>
    <row r="177" spans="2:7" x14ac:dyDescent="0.2">
      <c r="B177" s="37">
        <f>B154+1</f>
        <v>8</v>
      </c>
      <c r="C177" s="34"/>
      <c r="D177" s="34"/>
      <c r="E177" s="35">
        <f>E154-lr*G171</f>
        <v>-2.3070796176835437</v>
      </c>
      <c r="F177" s="35">
        <f>F154-lr*G172</f>
        <v>-8.9461840971261086E-3</v>
      </c>
      <c r="G177" s="35">
        <f>G154-lr*G173</f>
        <v>2.5684688188252656</v>
      </c>
    </row>
    <row r="178" spans="2:7" x14ac:dyDescent="0.2">
      <c r="B178" s="4" t="s">
        <v>14</v>
      </c>
      <c r="C178" s="4" t="s">
        <v>15</v>
      </c>
      <c r="D178" s="5" cm="1">
        <f t="array" ref="D178:G178">TRANSPOSE($D$6:$D$9)</f>
        <v>0</v>
      </c>
      <c r="E178" s="5">
        <v>0</v>
      </c>
      <c r="F178" s="5">
        <v>0</v>
      </c>
      <c r="G178" s="5">
        <v>1</v>
      </c>
    </row>
    <row r="179" spans="2:7" x14ac:dyDescent="0.2">
      <c r="B179" s="11" t="s">
        <v>4</v>
      </c>
      <c r="C179" s="11" t="s">
        <v>9</v>
      </c>
      <c r="D179" s="12" cm="1">
        <f t="array" ref="D179:G180">TRANSPOSE($B$6:$C$9)</f>
        <v>0</v>
      </c>
      <c r="E179" s="12">
        <v>0</v>
      </c>
      <c r="F179" s="12">
        <v>1</v>
      </c>
      <c r="G179" s="12">
        <v>1</v>
      </c>
    </row>
    <row r="180" spans="2:7" x14ac:dyDescent="0.2">
      <c r="B180" s="15"/>
      <c r="C180" s="13" t="s">
        <v>10</v>
      </c>
      <c r="D180" s="14">
        <v>0</v>
      </c>
      <c r="E180" s="14">
        <v>1</v>
      </c>
      <c r="F180" s="14">
        <v>0</v>
      </c>
      <c r="G180" s="14">
        <v>1</v>
      </c>
    </row>
    <row r="181" spans="2:7" x14ac:dyDescent="0.2">
      <c r="B181" s="6" t="s">
        <v>13</v>
      </c>
      <c r="C181" s="6" t="s">
        <v>11</v>
      </c>
      <c r="D181" s="7" cm="1">
        <f t="array" ref="D181:G181">MMULT(F177:G177,_xlfn.ANCHORARRAY(D179))+E177</f>
        <v>-2.3070796176835437</v>
      </c>
      <c r="E181" s="7">
        <v>0.26138920114172182</v>
      </c>
      <c r="F181" s="7">
        <v>-2.3160258017806701</v>
      </c>
      <c r="G181" s="7">
        <v>0.25244301704459593</v>
      </c>
    </row>
    <row r="182" spans="2:7" x14ac:dyDescent="0.2">
      <c r="B182" s="5"/>
      <c r="C182" s="4" t="s">
        <v>12</v>
      </c>
      <c r="D182" s="8">
        <f>1/(1+EXP(-D181))</f>
        <v>9.0538324927777525E-2</v>
      </c>
      <c r="E182" s="8">
        <f>1/(1+EXP(-E181))</f>
        <v>0.56497775749808676</v>
      </c>
      <c r="F182" s="8">
        <f>1/(1+EXP(-F181))</f>
        <v>8.9804379385868008E-2</v>
      </c>
      <c r="G182" s="8">
        <f>1/(1+EXP(-G181))</f>
        <v>0.56277771902217599</v>
      </c>
    </row>
    <row r="183" spans="2:7" x14ac:dyDescent="0.2">
      <c r="B183" s="9" t="s">
        <v>16</v>
      </c>
      <c r="C183" s="9" t="s">
        <v>19</v>
      </c>
      <c r="D183" s="10">
        <f>POWER(D182-D178,2)</f>
        <v>8.1971882807278205E-3</v>
      </c>
      <c r="E183" s="10">
        <f t="shared" ref="E183:G183" si="62">POWER(E182-E178,2)</f>
        <v>0.31919986646756693</v>
      </c>
      <c r="F183" s="10">
        <f t="shared" si="62"/>
        <v>8.0648265568809153E-3</v>
      </c>
      <c r="G183" s="10">
        <f t="shared" si="62"/>
        <v>0.19116332298345129</v>
      </c>
    </row>
    <row r="184" spans="2:7" x14ac:dyDescent="0.2">
      <c r="B184" s="22" t="s">
        <v>5</v>
      </c>
      <c r="C184" s="22" t="s">
        <v>17</v>
      </c>
      <c r="D184" s="23"/>
      <c r="E184" s="23"/>
      <c r="F184" s="23"/>
      <c r="G184" s="38">
        <f>SUM(D183:G183)</f>
        <v>0.52662520428862691</v>
      </c>
    </row>
    <row r="185" spans="2:7" x14ac:dyDescent="0.2">
      <c r="B185" s="2" t="s">
        <v>18</v>
      </c>
      <c r="C185" s="9" t="s">
        <v>20</v>
      </c>
      <c r="D185" s="10">
        <f>2*(D182-D178)</f>
        <v>0.18107664985555505</v>
      </c>
      <c r="E185" s="10">
        <f t="shared" ref="E185:G185" si="63">2*(E182-E178)</f>
        <v>1.1299555149961735</v>
      </c>
      <c r="F185" s="10">
        <f t="shared" si="63"/>
        <v>0.17960875877173602</v>
      </c>
      <c r="G185" s="10">
        <f t="shared" si="63"/>
        <v>-0.87444456195564801</v>
      </c>
    </row>
    <row r="186" spans="2:7" x14ac:dyDescent="0.2">
      <c r="C186" s="4" t="s">
        <v>21</v>
      </c>
      <c r="D186" s="8">
        <f>D182*(1-D182)</f>
        <v>8.2341136647049701E-2</v>
      </c>
      <c r="E186" s="8">
        <f t="shared" ref="E186:G186" si="64">E182*(1-E182)</f>
        <v>0.24577789103051983</v>
      </c>
      <c r="F186" s="8">
        <f t="shared" si="64"/>
        <v>8.1739552828987094E-2</v>
      </c>
      <c r="G186" s="8">
        <f t="shared" si="64"/>
        <v>0.24605895799437272</v>
      </c>
    </row>
    <row r="187" spans="2:7" x14ac:dyDescent="0.2">
      <c r="C187" s="9" t="s">
        <v>23</v>
      </c>
      <c r="D187" s="17">
        <v>1</v>
      </c>
      <c r="E187" s="17">
        <v>1</v>
      </c>
      <c r="F187" s="17">
        <v>1</v>
      </c>
      <c r="G187" s="17">
        <v>1</v>
      </c>
    </row>
    <row r="188" spans="2:7" x14ac:dyDescent="0.2">
      <c r="B188" s="16"/>
      <c r="C188" s="11" t="s">
        <v>24</v>
      </c>
      <c r="D188" s="12" cm="1">
        <f t="array" ref="D188:G189">_xlfn.ANCHORARRAY(D179)</f>
        <v>0</v>
      </c>
      <c r="E188" s="12">
        <v>0</v>
      </c>
      <c r="F188" s="12">
        <v>1</v>
      </c>
      <c r="G188" s="12">
        <v>1</v>
      </c>
    </row>
    <row r="189" spans="2:7" x14ac:dyDescent="0.2">
      <c r="B189" s="16"/>
      <c r="C189" s="13"/>
      <c r="D189" s="14">
        <v>0</v>
      </c>
      <c r="E189" s="14">
        <v>1</v>
      </c>
      <c r="F189" s="14">
        <v>0</v>
      </c>
      <c r="G189" s="14">
        <v>1</v>
      </c>
    </row>
    <row r="190" spans="2:7" x14ac:dyDescent="0.2">
      <c r="C190" s="9" t="s">
        <v>22</v>
      </c>
      <c r="D190" s="18">
        <f>D185*D186</f>
        <v>1.4910057169346231E-2</v>
      </c>
      <c r="E190" s="18">
        <f t="shared" ref="E190:G190" si="65">E185*E186</f>
        <v>0.27771808343406446</v>
      </c>
      <c r="F190" s="18">
        <f t="shared" si="65"/>
        <v>1.4681139626171116E-2</v>
      </c>
      <c r="G190" s="18">
        <f t="shared" si="65"/>
        <v>-0.21516491773865246</v>
      </c>
    </row>
    <row r="191" spans="2:7" x14ac:dyDescent="0.2">
      <c r="C191" s="9" t="s">
        <v>25</v>
      </c>
      <c r="D191" s="10">
        <f>D190*D187</f>
        <v>1.4910057169346231E-2</v>
      </c>
      <c r="E191" s="10">
        <f t="shared" ref="E191" si="66">E190*E187</f>
        <v>0.27771808343406446</v>
      </c>
      <c r="F191" s="10">
        <f t="shared" ref="F191" si="67">F190*F187</f>
        <v>1.4681139626171116E-2</v>
      </c>
      <c r="G191" s="10">
        <f t="shared" ref="G191" si="68">G190*G187</f>
        <v>-0.21516491773865246</v>
      </c>
    </row>
    <row r="192" spans="2:7" x14ac:dyDescent="0.2">
      <c r="B192" s="30"/>
      <c r="C192" s="19" t="s">
        <v>26</v>
      </c>
      <c r="D192" s="20">
        <f>D190*D188</f>
        <v>0</v>
      </c>
      <c r="E192" s="20">
        <f t="shared" ref="E192:G192" si="69">E190*E188</f>
        <v>0</v>
      </c>
      <c r="F192" s="20">
        <f t="shared" si="69"/>
        <v>1.4681139626171116E-2</v>
      </c>
      <c r="G192" s="20">
        <f t="shared" si="69"/>
        <v>-0.21516491773865246</v>
      </c>
    </row>
    <row r="193" spans="2:7" x14ac:dyDescent="0.2">
      <c r="B193" s="15"/>
      <c r="C193" s="15"/>
      <c r="D193" s="21">
        <f>D190*D189</f>
        <v>0</v>
      </c>
      <c r="E193" s="21">
        <f t="shared" ref="E193:G193" si="70">E190*E189</f>
        <v>0.27771808343406446</v>
      </c>
      <c r="F193" s="21">
        <f t="shared" si="70"/>
        <v>0</v>
      </c>
      <c r="G193" s="21">
        <f t="shared" si="70"/>
        <v>-0.21516491773865246</v>
      </c>
    </row>
    <row r="194" spans="2:7" x14ac:dyDescent="0.2">
      <c r="B194" s="25" t="s">
        <v>27</v>
      </c>
      <c r="C194" s="25" t="s">
        <v>28</v>
      </c>
      <c r="D194" s="24"/>
      <c r="E194" s="24"/>
      <c r="F194" s="24"/>
      <c r="G194" s="26">
        <f>AVERAGE(D191:G191)</f>
        <v>2.303609062273234E-2</v>
      </c>
    </row>
    <row r="195" spans="2:7" x14ac:dyDescent="0.2">
      <c r="B195" s="24"/>
      <c r="C195" s="25" t="s">
        <v>29</v>
      </c>
      <c r="D195" s="24"/>
      <c r="E195" s="24"/>
      <c r="F195" s="24"/>
      <c r="G195" s="26">
        <f>AVERAGE(D192:G192)</f>
        <v>-5.0120944528120333E-2</v>
      </c>
    </row>
    <row r="196" spans="2:7" x14ac:dyDescent="0.2">
      <c r="B196" s="27"/>
      <c r="C196" s="28" t="s">
        <v>30</v>
      </c>
      <c r="D196" s="27"/>
      <c r="E196" s="27"/>
      <c r="F196" s="27"/>
      <c r="G196" s="29">
        <f>AVERAGE(D193:G193)</f>
        <v>1.5638291423853E-2</v>
      </c>
    </row>
    <row r="198" spans="2:7" x14ac:dyDescent="0.2">
      <c r="B198" s="31" t="s">
        <v>31</v>
      </c>
      <c r="C198" s="32"/>
      <c r="D198" s="32"/>
      <c r="E198" s="32"/>
      <c r="F198" s="32"/>
      <c r="G198" s="32"/>
    </row>
    <row r="199" spans="2:7" x14ac:dyDescent="0.2">
      <c r="B199" s="36" t="s">
        <v>33</v>
      </c>
      <c r="C199" s="33"/>
      <c r="D199" s="33"/>
      <c r="E199" s="36" t="s">
        <v>6</v>
      </c>
      <c r="F199" s="36" t="s">
        <v>7</v>
      </c>
      <c r="G199" s="36" t="s">
        <v>8</v>
      </c>
    </row>
    <row r="200" spans="2:7" x14ac:dyDescent="0.2">
      <c r="B200" s="37">
        <f>B177+1</f>
        <v>9</v>
      </c>
      <c r="C200" s="34"/>
      <c r="D200" s="34"/>
      <c r="E200" s="35">
        <f>E177-lr*G194</f>
        <v>-2.5374405239108673</v>
      </c>
      <c r="F200" s="35">
        <f>F177-lr*G195</f>
        <v>0.49226326118407726</v>
      </c>
      <c r="G200" s="35">
        <f>G177-lr*G196</f>
        <v>2.4120859045867356</v>
      </c>
    </row>
    <row r="201" spans="2:7" x14ac:dyDescent="0.2">
      <c r="B201" s="4" t="s">
        <v>14</v>
      </c>
      <c r="C201" s="4" t="s">
        <v>15</v>
      </c>
      <c r="D201" s="5" cm="1">
        <f t="array" ref="D201:G201">TRANSPOSE($D$6:$D$9)</f>
        <v>0</v>
      </c>
      <c r="E201" s="5">
        <v>0</v>
      </c>
      <c r="F201" s="5">
        <v>0</v>
      </c>
      <c r="G201" s="5">
        <v>1</v>
      </c>
    </row>
    <row r="202" spans="2:7" x14ac:dyDescent="0.2">
      <c r="B202" s="11" t="s">
        <v>4</v>
      </c>
      <c r="C202" s="11" t="s">
        <v>9</v>
      </c>
      <c r="D202" s="12" cm="1">
        <f t="array" ref="D202:G203">TRANSPOSE($B$6:$C$9)</f>
        <v>0</v>
      </c>
      <c r="E202" s="12">
        <v>0</v>
      </c>
      <c r="F202" s="12">
        <v>1</v>
      </c>
      <c r="G202" s="12">
        <v>1</v>
      </c>
    </row>
    <row r="203" spans="2:7" x14ac:dyDescent="0.2">
      <c r="B203" s="15"/>
      <c r="C203" s="13" t="s">
        <v>10</v>
      </c>
      <c r="D203" s="14">
        <v>0</v>
      </c>
      <c r="E203" s="14">
        <v>1</v>
      </c>
      <c r="F203" s="14">
        <v>0</v>
      </c>
      <c r="G203" s="14">
        <v>1</v>
      </c>
    </row>
    <row r="204" spans="2:7" x14ac:dyDescent="0.2">
      <c r="B204" s="6" t="s">
        <v>13</v>
      </c>
      <c r="C204" s="6" t="s">
        <v>11</v>
      </c>
      <c r="D204" s="7" cm="1">
        <f t="array" ref="D204:G204">MMULT(F200:G200,_xlfn.ANCHORARRAY(D202))+E200</f>
        <v>-2.5374405239108673</v>
      </c>
      <c r="E204" s="7">
        <v>-0.12535461932413172</v>
      </c>
      <c r="F204" s="7">
        <v>-2.0451772627267899</v>
      </c>
      <c r="G204" s="7">
        <v>0.36690864185994565</v>
      </c>
    </row>
    <row r="205" spans="2:7" x14ac:dyDescent="0.2">
      <c r="B205" s="5"/>
      <c r="C205" s="4" t="s">
        <v>12</v>
      </c>
      <c r="D205" s="8">
        <f>1/(1+EXP(-D204))</f>
        <v>7.3274786448020213E-2</v>
      </c>
      <c r="E205" s="8">
        <f>1/(1+EXP(-E204))</f>
        <v>0.46870231818156766</v>
      </c>
      <c r="F205" s="8">
        <f>1/(1+EXP(-F204))</f>
        <v>0.1145405998322413</v>
      </c>
      <c r="G205" s="8">
        <f>1/(1+EXP(-G204))</f>
        <v>0.59071178665917357</v>
      </c>
    </row>
    <row r="206" spans="2:7" x14ac:dyDescent="0.2">
      <c r="B206" s="9" t="s">
        <v>16</v>
      </c>
      <c r="C206" s="9" t="s">
        <v>19</v>
      </c>
      <c r="D206" s="10">
        <f>POWER(D205-D201,2)</f>
        <v>5.3691943290029662E-3</v>
      </c>
      <c r="E206" s="10">
        <f t="shared" ref="E206:G206" si="71">POWER(E205-E201,2)</f>
        <v>0.21968186306877549</v>
      </c>
      <c r="F206" s="10">
        <f t="shared" si="71"/>
        <v>1.3119549009929635E-2</v>
      </c>
      <c r="G206" s="10">
        <f t="shared" si="71"/>
        <v>0.16751684157972585</v>
      </c>
    </row>
    <row r="207" spans="2:7" x14ac:dyDescent="0.2">
      <c r="B207" s="22" t="s">
        <v>5</v>
      </c>
      <c r="C207" s="22" t="s">
        <v>17</v>
      </c>
      <c r="D207" s="23"/>
      <c r="E207" s="23"/>
      <c r="F207" s="23"/>
      <c r="G207" s="38">
        <f>SUM(D206:G206)</f>
        <v>0.40568744798743395</v>
      </c>
    </row>
    <row r="208" spans="2:7" x14ac:dyDescent="0.2">
      <c r="B208" s="2" t="s">
        <v>18</v>
      </c>
      <c r="C208" s="9" t="s">
        <v>20</v>
      </c>
      <c r="D208" s="10">
        <f>2*(D205-D201)</f>
        <v>0.14654957289604043</v>
      </c>
      <c r="E208" s="10">
        <f t="shared" ref="E208:G208" si="72">2*(E205-E201)</f>
        <v>0.93740463636313531</v>
      </c>
      <c r="F208" s="10">
        <f t="shared" si="72"/>
        <v>0.22908119966448259</v>
      </c>
      <c r="G208" s="10">
        <f t="shared" si="72"/>
        <v>-0.81857642668165287</v>
      </c>
    </row>
    <row r="209" spans="2:7" x14ac:dyDescent="0.2">
      <c r="C209" s="4" t="s">
        <v>21</v>
      </c>
      <c r="D209" s="8">
        <f>D205*(1-D205)</f>
        <v>6.7905592119017241E-2</v>
      </c>
      <c r="E209" s="8">
        <f t="shared" ref="E209:G209" si="73">E205*(1-E205)</f>
        <v>0.24902045511279214</v>
      </c>
      <c r="F209" s="8">
        <f t="shared" si="73"/>
        <v>0.10142105082231166</v>
      </c>
      <c r="G209" s="8">
        <f t="shared" si="73"/>
        <v>0.24177137176110058</v>
      </c>
    </row>
    <row r="210" spans="2:7" x14ac:dyDescent="0.2">
      <c r="C210" s="9" t="s">
        <v>23</v>
      </c>
      <c r="D210" s="17">
        <v>1</v>
      </c>
      <c r="E210" s="17">
        <v>1</v>
      </c>
      <c r="F210" s="17">
        <v>1</v>
      </c>
      <c r="G210" s="17">
        <v>1</v>
      </c>
    </row>
    <row r="211" spans="2:7" x14ac:dyDescent="0.2">
      <c r="B211" s="16"/>
      <c r="C211" s="11" t="s">
        <v>24</v>
      </c>
      <c r="D211" s="12" cm="1">
        <f t="array" ref="D211:G212">_xlfn.ANCHORARRAY(D202)</f>
        <v>0</v>
      </c>
      <c r="E211" s="12">
        <v>0</v>
      </c>
      <c r="F211" s="12">
        <v>1</v>
      </c>
      <c r="G211" s="12">
        <v>1</v>
      </c>
    </row>
    <row r="212" spans="2:7" x14ac:dyDescent="0.2">
      <c r="B212" s="16"/>
      <c r="C212" s="13"/>
      <c r="D212" s="14">
        <v>0</v>
      </c>
      <c r="E212" s="14">
        <v>1</v>
      </c>
      <c r="F212" s="14">
        <v>0</v>
      </c>
      <c r="G212" s="14">
        <v>1</v>
      </c>
    </row>
    <row r="213" spans="2:7" x14ac:dyDescent="0.2">
      <c r="C213" s="9" t="s">
        <v>22</v>
      </c>
      <c r="D213" s="18">
        <f>D208*D209</f>
        <v>9.9515355222947049E-3</v>
      </c>
      <c r="E213" s="18">
        <f t="shared" ref="E213:G213" si="74">E208*E209</f>
        <v>0.23343292917198938</v>
      </c>
      <c r="F213" s="18">
        <f t="shared" si="74"/>
        <v>2.3233655993607615E-2</v>
      </c>
      <c r="G213" s="18">
        <f t="shared" si="74"/>
        <v>-0.19790834557012318</v>
      </c>
    </row>
    <row r="214" spans="2:7" x14ac:dyDescent="0.2">
      <c r="C214" s="9" t="s">
        <v>25</v>
      </c>
      <c r="D214" s="10">
        <f>D213*D210</f>
        <v>9.9515355222947049E-3</v>
      </c>
      <c r="E214" s="10">
        <f t="shared" ref="E214" si="75">E213*E210</f>
        <v>0.23343292917198938</v>
      </c>
      <c r="F214" s="10">
        <f t="shared" ref="F214" si="76">F213*F210</f>
        <v>2.3233655993607615E-2</v>
      </c>
      <c r="G214" s="10">
        <f t="shared" ref="G214" si="77">G213*G210</f>
        <v>-0.19790834557012318</v>
      </c>
    </row>
    <row r="215" spans="2:7" x14ac:dyDescent="0.2">
      <c r="B215" s="30"/>
      <c r="C215" s="19" t="s">
        <v>26</v>
      </c>
      <c r="D215" s="20">
        <f>D213*D211</f>
        <v>0</v>
      </c>
      <c r="E215" s="20">
        <f t="shared" ref="E215:G215" si="78">E213*E211</f>
        <v>0</v>
      </c>
      <c r="F215" s="20">
        <f t="shared" si="78"/>
        <v>2.3233655993607615E-2</v>
      </c>
      <c r="G215" s="20">
        <f t="shared" si="78"/>
        <v>-0.19790834557012318</v>
      </c>
    </row>
    <row r="216" spans="2:7" x14ac:dyDescent="0.2">
      <c r="B216" s="15"/>
      <c r="C216" s="15"/>
      <c r="D216" s="21">
        <f>D213*D212</f>
        <v>0</v>
      </c>
      <c r="E216" s="21">
        <f t="shared" ref="E216:G216" si="79">E213*E212</f>
        <v>0.23343292917198938</v>
      </c>
      <c r="F216" s="21">
        <f t="shared" si="79"/>
        <v>0</v>
      </c>
      <c r="G216" s="21">
        <f t="shared" si="79"/>
        <v>-0.19790834557012318</v>
      </c>
    </row>
    <row r="217" spans="2:7" x14ac:dyDescent="0.2">
      <c r="B217" s="25" t="s">
        <v>27</v>
      </c>
      <c r="C217" s="25" t="s">
        <v>28</v>
      </c>
      <c r="D217" s="24"/>
      <c r="E217" s="24"/>
      <c r="F217" s="24"/>
      <c r="G217" s="26">
        <f>AVERAGE(D214:G214)</f>
        <v>1.7177443779442129E-2</v>
      </c>
    </row>
    <row r="218" spans="2:7" x14ac:dyDescent="0.2">
      <c r="B218" s="24"/>
      <c r="C218" s="25" t="s">
        <v>29</v>
      </c>
      <c r="D218" s="24"/>
      <c r="E218" s="24"/>
      <c r="F218" s="24"/>
      <c r="G218" s="26">
        <f>AVERAGE(D215:G215)</f>
        <v>-4.3668672394128895E-2</v>
      </c>
    </row>
    <row r="219" spans="2:7" x14ac:dyDescent="0.2">
      <c r="B219" s="27"/>
      <c r="C219" s="28" t="s">
        <v>30</v>
      </c>
      <c r="D219" s="27"/>
      <c r="E219" s="27"/>
      <c r="F219" s="27"/>
      <c r="G219" s="29">
        <f>AVERAGE(D216:G216)</f>
        <v>8.8811459004665486E-3</v>
      </c>
    </row>
    <row r="221" spans="2:7" x14ac:dyDescent="0.2">
      <c r="B221" s="31" t="s">
        <v>31</v>
      </c>
      <c r="C221" s="32"/>
      <c r="D221" s="32"/>
      <c r="E221" s="32"/>
      <c r="F221" s="32"/>
      <c r="G221" s="32"/>
    </row>
    <row r="222" spans="2:7" x14ac:dyDescent="0.2">
      <c r="B222" s="36" t="s">
        <v>33</v>
      </c>
      <c r="C222" s="33"/>
      <c r="D222" s="33"/>
      <c r="E222" s="36" t="s">
        <v>6</v>
      </c>
      <c r="F222" s="36" t="s">
        <v>7</v>
      </c>
      <c r="G222" s="36" t="s">
        <v>8</v>
      </c>
    </row>
    <row r="223" spans="2:7" x14ac:dyDescent="0.2">
      <c r="B223" s="37">
        <f>B200+1</f>
        <v>10</v>
      </c>
      <c r="C223" s="34"/>
      <c r="D223" s="34"/>
      <c r="E223" s="35">
        <f>E200-lr*G217</f>
        <v>-2.7092149617052885</v>
      </c>
      <c r="F223" s="35">
        <f>F200-lr*G218</f>
        <v>0.9289499851253662</v>
      </c>
      <c r="G223" s="35">
        <f>G200-lr*G219</f>
        <v>2.32327444558207</v>
      </c>
    </row>
    <row r="224" spans="2:7" x14ac:dyDescent="0.2">
      <c r="B224" s="4" t="s">
        <v>14</v>
      </c>
      <c r="C224" s="4" t="s">
        <v>15</v>
      </c>
      <c r="D224" s="5" cm="1">
        <f t="array" ref="D224:G224">TRANSPOSE($D$6:$D$9)</f>
        <v>0</v>
      </c>
      <c r="E224" s="5">
        <v>0</v>
      </c>
      <c r="F224" s="5">
        <v>0</v>
      </c>
      <c r="G224" s="5">
        <v>1</v>
      </c>
    </row>
    <row r="225" spans="2:7" x14ac:dyDescent="0.2">
      <c r="B225" s="11" t="s">
        <v>4</v>
      </c>
      <c r="C225" s="11" t="s">
        <v>9</v>
      </c>
      <c r="D225" s="12" cm="1">
        <f t="array" ref="D225:G226">TRANSPOSE($B$6:$C$9)</f>
        <v>0</v>
      </c>
      <c r="E225" s="12">
        <v>0</v>
      </c>
      <c r="F225" s="12">
        <v>1</v>
      </c>
      <c r="G225" s="12">
        <v>1</v>
      </c>
    </row>
    <row r="226" spans="2:7" x14ac:dyDescent="0.2">
      <c r="B226" s="15"/>
      <c r="C226" s="13" t="s">
        <v>10</v>
      </c>
      <c r="D226" s="14">
        <v>0</v>
      </c>
      <c r="E226" s="14">
        <v>1</v>
      </c>
      <c r="F226" s="14">
        <v>0</v>
      </c>
      <c r="G226" s="14">
        <v>1</v>
      </c>
    </row>
    <row r="227" spans="2:7" x14ac:dyDescent="0.2">
      <c r="B227" s="6" t="s">
        <v>13</v>
      </c>
      <c r="C227" s="6" t="s">
        <v>11</v>
      </c>
      <c r="D227" s="7" cm="1">
        <f t="array" ref="D227:G227">MMULT(F223:G223,_xlfn.ANCHORARRAY(D225))+E223</f>
        <v>-2.7092149617052885</v>
      </c>
      <c r="E227" s="7">
        <v>-0.38594051612321856</v>
      </c>
      <c r="F227" s="7">
        <v>-1.7802649765799223</v>
      </c>
      <c r="G227" s="7">
        <v>0.54300946900214742</v>
      </c>
    </row>
    <row r="228" spans="2:7" x14ac:dyDescent="0.2">
      <c r="B228" s="5"/>
      <c r="C228" s="4" t="s">
        <v>12</v>
      </c>
      <c r="D228" s="8">
        <f>1/(1+EXP(-D227))</f>
        <v>6.2431787076255442E-2</v>
      </c>
      <c r="E228" s="8">
        <f>1/(1+EXP(-E227))</f>
        <v>0.40469491957049919</v>
      </c>
      <c r="F228" s="8">
        <f>1/(1+EXP(-F227))</f>
        <v>0.14427041793516743</v>
      </c>
      <c r="G228" s="8">
        <f>1/(1+EXP(-G227))</f>
        <v>0.63251221879790187</v>
      </c>
    </row>
    <row r="229" spans="2:7" x14ac:dyDescent="0.2">
      <c r="B229" s="9" t="s">
        <v>16</v>
      </c>
      <c r="C229" s="9" t="s">
        <v>19</v>
      </c>
      <c r="D229" s="10">
        <f>POWER(D228-D224,2)</f>
        <v>3.8977280375348958E-3</v>
      </c>
      <c r="E229" s="10">
        <f t="shared" ref="E229:G229" si="80">POWER(E228-E224,2)</f>
        <v>0.1637779779261728</v>
      </c>
      <c r="F229" s="10">
        <f t="shared" si="80"/>
        <v>2.0813953491187878E-2</v>
      </c>
      <c r="G229" s="10">
        <f t="shared" si="80"/>
        <v>0.13504726933284114</v>
      </c>
    </row>
    <row r="230" spans="2:7" x14ac:dyDescent="0.2">
      <c r="B230" s="22" t="s">
        <v>5</v>
      </c>
      <c r="C230" s="22" t="s">
        <v>17</v>
      </c>
      <c r="D230" s="23"/>
      <c r="E230" s="23"/>
      <c r="F230" s="23"/>
      <c r="G230" s="38">
        <f>SUM(D229:G229)</f>
        <v>0.32353692878773677</v>
      </c>
    </row>
    <row r="231" spans="2:7" x14ac:dyDescent="0.2">
      <c r="B231" s="2" t="s">
        <v>18</v>
      </c>
      <c r="C231" s="9" t="s">
        <v>20</v>
      </c>
      <c r="D231" s="10">
        <f>2*(D228-D224)</f>
        <v>0.12486357415251088</v>
      </c>
      <c r="E231" s="10">
        <f t="shared" ref="E231:G231" si="81">2*(E228-E224)</f>
        <v>0.80938983914099838</v>
      </c>
      <c r="F231" s="10">
        <f t="shared" si="81"/>
        <v>0.28854083587033486</v>
      </c>
      <c r="G231" s="10">
        <f t="shared" si="81"/>
        <v>-0.73497556240419626</v>
      </c>
    </row>
    <row r="232" spans="2:7" x14ac:dyDescent="0.2">
      <c r="C232" s="4" t="s">
        <v>21</v>
      </c>
      <c r="D232" s="8">
        <f>D228*(1-D228)</f>
        <v>5.8534059038720547E-2</v>
      </c>
      <c r="E232" s="8">
        <f t="shared" ref="E232:G232" si="82">E228*(1-E228)</f>
        <v>0.24091694164432639</v>
      </c>
      <c r="F232" s="8">
        <f t="shared" si="82"/>
        <v>0.12345646444397954</v>
      </c>
      <c r="G232" s="8">
        <f t="shared" si="82"/>
        <v>0.23244051186925699</v>
      </c>
    </row>
    <row r="233" spans="2:7" x14ac:dyDescent="0.2">
      <c r="C233" s="9" t="s">
        <v>23</v>
      </c>
      <c r="D233" s="17">
        <v>1</v>
      </c>
      <c r="E233" s="17">
        <v>1</v>
      </c>
      <c r="F233" s="17">
        <v>1</v>
      </c>
      <c r="G233" s="17">
        <v>1</v>
      </c>
    </row>
    <row r="234" spans="2:7" x14ac:dyDescent="0.2">
      <c r="B234" s="16"/>
      <c r="C234" s="11" t="s">
        <v>24</v>
      </c>
      <c r="D234" s="12" cm="1">
        <f t="array" ref="D234:G235">_xlfn.ANCHORARRAY(D225)</f>
        <v>0</v>
      </c>
      <c r="E234" s="12">
        <v>0</v>
      </c>
      <c r="F234" s="12">
        <v>1</v>
      </c>
      <c r="G234" s="12">
        <v>1</v>
      </c>
    </row>
    <row r="235" spans="2:7" x14ac:dyDescent="0.2">
      <c r="B235" s="16"/>
      <c r="C235" s="13"/>
      <c r="D235" s="14">
        <v>0</v>
      </c>
      <c r="E235" s="14">
        <v>1</v>
      </c>
      <c r="F235" s="14">
        <v>0</v>
      </c>
      <c r="G235" s="14">
        <v>1</v>
      </c>
    </row>
    <row r="236" spans="2:7" x14ac:dyDescent="0.2">
      <c r="C236" s="9" t="s">
        <v>22</v>
      </c>
      <c r="D236" s="18">
        <f>D231*D232</f>
        <v>7.308771821228733E-3</v>
      </c>
      <c r="E236" s="18">
        <f t="shared" ref="E236:G236" si="83">E231*E232</f>
        <v>0.19499572464384263</v>
      </c>
      <c r="F236" s="18">
        <f t="shared" si="83"/>
        <v>3.5622231444262131E-2</v>
      </c>
      <c r="G236" s="18">
        <f t="shared" si="83"/>
        <v>-0.17083809593662641</v>
      </c>
    </row>
    <row r="237" spans="2:7" x14ac:dyDescent="0.2">
      <c r="C237" s="9" t="s">
        <v>25</v>
      </c>
      <c r="D237" s="10">
        <f>D236*D233</f>
        <v>7.308771821228733E-3</v>
      </c>
      <c r="E237" s="10">
        <f t="shared" ref="E237" si="84">E236*E233</f>
        <v>0.19499572464384263</v>
      </c>
      <c r="F237" s="10">
        <f t="shared" ref="F237" si="85">F236*F233</f>
        <v>3.5622231444262131E-2</v>
      </c>
      <c r="G237" s="10">
        <f t="shared" ref="G237" si="86">G236*G233</f>
        <v>-0.17083809593662641</v>
      </c>
    </row>
    <row r="238" spans="2:7" x14ac:dyDescent="0.2">
      <c r="B238" s="30"/>
      <c r="C238" s="19" t="s">
        <v>26</v>
      </c>
      <c r="D238" s="20">
        <f>D236*D234</f>
        <v>0</v>
      </c>
      <c r="E238" s="20">
        <f t="shared" ref="E238:G238" si="87">E236*E234</f>
        <v>0</v>
      </c>
      <c r="F238" s="20">
        <f t="shared" si="87"/>
        <v>3.5622231444262131E-2</v>
      </c>
      <c r="G238" s="20">
        <f t="shared" si="87"/>
        <v>-0.17083809593662641</v>
      </c>
    </row>
    <row r="239" spans="2:7" x14ac:dyDescent="0.2">
      <c r="B239" s="15"/>
      <c r="C239" s="15"/>
      <c r="D239" s="21">
        <f>D236*D235</f>
        <v>0</v>
      </c>
      <c r="E239" s="21">
        <f t="shared" ref="E239:G239" si="88">E236*E235</f>
        <v>0.19499572464384263</v>
      </c>
      <c r="F239" s="21">
        <f t="shared" si="88"/>
        <v>0</v>
      </c>
      <c r="G239" s="21">
        <f t="shared" si="88"/>
        <v>-0.17083809593662641</v>
      </c>
    </row>
    <row r="240" spans="2:7" x14ac:dyDescent="0.2">
      <c r="B240" s="25" t="s">
        <v>27</v>
      </c>
      <c r="C240" s="25" t="s">
        <v>28</v>
      </c>
      <c r="D240" s="24"/>
      <c r="E240" s="24"/>
      <c r="F240" s="24"/>
      <c r="G240" s="26">
        <f>AVERAGE(D237:G237)</f>
        <v>1.6772157993176773E-2</v>
      </c>
    </row>
    <row r="241" spans="2:7" x14ac:dyDescent="0.2">
      <c r="B241" s="24"/>
      <c r="C241" s="25" t="s">
        <v>29</v>
      </c>
      <c r="D241" s="24"/>
      <c r="E241" s="24"/>
      <c r="F241" s="24"/>
      <c r="G241" s="26">
        <f>AVERAGE(D238:G238)</f>
        <v>-3.380396612309107E-2</v>
      </c>
    </row>
    <row r="242" spans="2:7" x14ac:dyDescent="0.2">
      <c r="B242" s="27"/>
      <c r="C242" s="28" t="s">
        <v>30</v>
      </c>
      <c r="D242" s="27"/>
      <c r="E242" s="27"/>
      <c r="F242" s="27"/>
      <c r="G242" s="29">
        <f>AVERAGE(D239:G239)</f>
        <v>6.0394071768040541E-3</v>
      </c>
    </row>
    <row r="244" spans="2:7" x14ac:dyDescent="0.2">
      <c r="B244" s="31" t="s">
        <v>31</v>
      </c>
      <c r="C244" s="32"/>
      <c r="D244" s="32"/>
      <c r="E244" s="32"/>
      <c r="F244" s="32"/>
      <c r="G244" s="32"/>
    </row>
    <row r="245" spans="2:7" x14ac:dyDescent="0.2">
      <c r="B245" s="36" t="s">
        <v>33</v>
      </c>
      <c r="C245" s="33"/>
      <c r="D245" s="33"/>
      <c r="E245" s="36" t="s">
        <v>6</v>
      </c>
      <c r="F245" s="36" t="s">
        <v>7</v>
      </c>
      <c r="G245" s="36" t="s">
        <v>8</v>
      </c>
    </row>
    <row r="246" spans="2:7" x14ac:dyDescent="0.2">
      <c r="B246" s="37">
        <f>B223+1</f>
        <v>11</v>
      </c>
      <c r="C246" s="34"/>
      <c r="D246" s="34"/>
      <c r="E246" s="35">
        <f>E223-lr*G240</f>
        <v>-2.8769365416370563</v>
      </c>
      <c r="F246" s="35">
        <f>F223-lr*G241</f>
        <v>1.2669896463562769</v>
      </c>
      <c r="G246" s="35">
        <f>G223-lr*G242</f>
        <v>2.2628803738140295</v>
      </c>
    </row>
    <row r="247" spans="2:7" x14ac:dyDescent="0.2">
      <c r="B247" s="4" t="s">
        <v>14</v>
      </c>
      <c r="C247" s="4" t="s">
        <v>15</v>
      </c>
      <c r="D247" s="5" cm="1">
        <f t="array" ref="D247:G247">TRANSPOSE($D$6:$D$9)</f>
        <v>0</v>
      </c>
      <c r="E247" s="5">
        <v>0</v>
      </c>
      <c r="F247" s="5">
        <v>0</v>
      </c>
      <c r="G247" s="5">
        <v>1</v>
      </c>
    </row>
    <row r="248" spans="2:7" x14ac:dyDescent="0.2">
      <c r="B248" s="11" t="s">
        <v>4</v>
      </c>
      <c r="C248" s="11" t="s">
        <v>9</v>
      </c>
      <c r="D248" s="12" cm="1">
        <f t="array" ref="D248:G249">TRANSPOSE($B$6:$C$9)</f>
        <v>0</v>
      </c>
      <c r="E248" s="12">
        <v>0</v>
      </c>
      <c r="F248" s="12">
        <v>1</v>
      </c>
      <c r="G248" s="12">
        <v>1</v>
      </c>
    </row>
    <row r="249" spans="2:7" x14ac:dyDescent="0.2">
      <c r="B249" s="15"/>
      <c r="C249" s="13" t="s">
        <v>10</v>
      </c>
      <c r="D249" s="14">
        <v>0</v>
      </c>
      <c r="E249" s="14">
        <v>1</v>
      </c>
      <c r="F249" s="14">
        <v>0</v>
      </c>
      <c r="G249" s="14">
        <v>1</v>
      </c>
    </row>
    <row r="250" spans="2:7" x14ac:dyDescent="0.2">
      <c r="B250" s="6" t="s">
        <v>13</v>
      </c>
      <c r="C250" s="6" t="s">
        <v>11</v>
      </c>
      <c r="D250" s="7" cm="1">
        <f t="array" ref="D250:G250">MMULT(F246:G246,_xlfn.ANCHORARRAY(D248))+E246</f>
        <v>-2.8769365416370563</v>
      </c>
      <c r="E250" s="7">
        <v>-0.61405616782302674</v>
      </c>
      <c r="F250" s="7">
        <v>-1.6099468952807794</v>
      </c>
      <c r="G250" s="7">
        <v>0.6529334785332499</v>
      </c>
    </row>
    <row r="251" spans="2:7" x14ac:dyDescent="0.2">
      <c r="B251" s="5"/>
      <c r="C251" s="4" t="s">
        <v>12</v>
      </c>
      <c r="D251" s="8">
        <f>1/(1+EXP(-D250))</f>
        <v>5.3305519503579486E-2</v>
      </c>
      <c r="E251" s="8">
        <f>1/(1+EXP(-E250))</f>
        <v>0.35113448736465608</v>
      </c>
      <c r="F251" s="8">
        <f>1/(1+EXP(-F250))</f>
        <v>0.16659598659780137</v>
      </c>
      <c r="G251" s="8">
        <f>1/(1+EXP(-G250))</f>
        <v>0.65767121055123468</v>
      </c>
    </row>
    <row r="252" spans="2:7" x14ac:dyDescent="0.2">
      <c r="B252" s="9" t="s">
        <v>16</v>
      </c>
      <c r="C252" s="9" t="s">
        <v>19</v>
      </c>
      <c r="D252" s="10">
        <f>POWER(D251-D247,2)</f>
        <v>2.8414784095464928E-3</v>
      </c>
      <c r="E252" s="10">
        <f t="shared" ref="E252:G252" si="89">POWER(E251-E247,2)</f>
        <v>0.12329542821683982</v>
      </c>
      <c r="F252" s="10">
        <f t="shared" si="89"/>
        <v>2.7754222750494811E-2</v>
      </c>
      <c r="G252" s="10">
        <f t="shared" si="89"/>
        <v>0.1171890000854571</v>
      </c>
    </row>
    <row r="253" spans="2:7" x14ac:dyDescent="0.2">
      <c r="B253" s="22" t="s">
        <v>5</v>
      </c>
      <c r="C253" s="22" t="s">
        <v>17</v>
      </c>
      <c r="D253" s="23"/>
      <c r="E253" s="23"/>
      <c r="F253" s="23"/>
      <c r="G253" s="38">
        <f>SUM(D252:G252)</f>
        <v>0.27108012946233823</v>
      </c>
    </row>
    <row r="254" spans="2:7" x14ac:dyDescent="0.2">
      <c r="B254" s="2" t="s">
        <v>18</v>
      </c>
      <c r="C254" s="9" t="s">
        <v>20</v>
      </c>
      <c r="D254" s="10">
        <f>2*(D251-D247)</f>
        <v>0.10661103900715897</v>
      </c>
      <c r="E254" s="10">
        <f t="shared" ref="E254:G254" si="90">2*(E251-E247)</f>
        <v>0.70226897472931216</v>
      </c>
      <c r="F254" s="10">
        <f t="shared" si="90"/>
        <v>0.33319197319560273</v>
      </c>
      <c r="G254" s="10">
        <f t="shared" si="90"/>
        <v>-0.68465757889753065</v>
      </c>
    </row>
    <row r="255" spans="2:7" x14ac:dyDescent="0.2">
      <c r="C255" s="4" t="s">
        <v>21</v>
      </c>
      <c r="D255" s="8">
        <f>D251*(1-D251)</f>
        <v>5.0464041094032991E-2</v>
      </c>
      <c r="E255" s="8">
        <f t="shared" ref="E255:G255" si="91">E251*(1-E251)</f>
        <v>0.22783905914781627</v>
      </c>
      <c r="F255" s="8">
        <f t="shared" si="91"/>
        <v>0.13884176384730654</v>
      </c>
      <c r="G255" s="8">
        <f t="shared" si="91"/>
        <v>0.22513978936330822</v>
      </c>
    </row>
    <row r="256" spans="2:7" x14ac:dyDescent="0.2">
      <c r="C256" s="9" t="s">
        <v>23</v>
      </c>
      <c r="D256" s="17">
        <v>1</v>
      </c>
      <c r="E256" s="17">
        <v>1</v>
      </c>
      <c r="F256" s="17">
        <v>1</v>
      </c>
      <c r="G256" s="17">
        <v>1</v>
      </c>
    </row>
    <row r="257" spans="2:7" x14ac:dyDescent="0.2">
      <c r="B257" s="16"/>
      <c r="C257" s="11" t="s">
        <v>24</v>
      </c>
      <c r="D257" s="12" cm="1">
        <f t="array" ref="D257:G258">_xlfn.ANCHORARRAY(D248)</f>
        <v>0</v>
      </c>
      <c r="E257" s="12">
        <v>0</v>
      </c>
      <c r="F257" s="12">
        <v>1</v>
      </c>
      <c r="G257" s="12">
        <v>1</v>
      </c>
    </row>
    <row r="258" spans="2:7" x14ac:dyDescent="0.2">
      <c r="B258" s="16"/>
      <c r="C258" s="13"/>
      <c r="D258" s="14">
        <v>0</v>
      </c>
      <c r="E258" s="14">
        <v>1</v>
      </c>
      <c r="F258" s="14">
        <v>0</v>
      </c>
      <c r="G258" s="14">
        <v>1</v>
      </c>
    </row>
    <row r="259" spans="2:7" x14ac:dyDescent="0.2">
      <c r="C259" s="9" t="s">
        <v>22</v>
      </c>
      <c r="D259" s="18">
        <f>D254*D255</f>
        <v>5.3800238535348247E-3</v>
      </c>
      <c r="E259" s="18">
        <f t="shared" ref="E259:G259" si="92">E254*E255</f>
        <v>0.16000430247102804</v>
      </c>
      <c r="F259" s="18">
        <f t="shared" si="92"/>
        <v>4.6260961258241966E-2</v>
      </c>
      <c r="G259" s="18">
        <f t="shared" si="92"/>
        <v>-0.15414366309898264</v>
      </c>
    </row>
    <row r="260" spans="2:7" x14ac:dyDescent="0.2">
      <c r="C260" s="9" t="s">
        <v>25</v>
      </c>
      <c r="D260" s="10">
        <f>D259*D256</f>
        <v>5.3800238535348247E-3</v>
      </c>
      <c r="E260" s="10">
        <f t="shared" ref="E260" si="93">E259*E256</f>
        <v>0.16000430247102804</v>
      </c>
      <c r="F260" s="10">
        <f t="shared" ref="F260" si="94">F259*F256</f>
        <v>4.6260961258241966E-2</v>
      </c>
      <c r="G260" s="10">
        <f t="shared" ref="G260" si="95">G259*G256</f>
        <v>-0.15414366309898264</v>
      </c>
    </row>
    <row r="261" spans="2:7" x14ac:dyDescent="0.2">
      <c r="B261" s="30"/>
      <c r="C261" s="19" t="s">
        <v>26</v>
      </c>
      <c r="D261" s="20">
        <f>D259*D257</f>
        <v>0</v>
      </c>
      <c r="E261" s="20">
        <f t="shared" ref="E261:G261" si="96">E259*E257</f>
        <v>0</v>
      </c>
      <c r="F261" s="20">
        <f t="shared" si="96"/>
        <v>4.6260961258241966E-2</v>
      </c>
      <c r="G261" s="20">
        <f t="shared" si="96"/>
        <v>-0.15414366309898264</v>
      </c>
    </row>
    <row r="262" spans="2:7" x14ac:dyDescent="0.2">
      <c r="B262" s="15"/>
      <c r="C262" s="15"/>
      <c r="D262" s="21">
        <f>D259*D258</f>
        <v>0</v>
      </c>
      <c r="E262" s="21">
        <f t="shared" ref="E262:G262" si="97">E259*E258</f>
        <v>0.16000430247102804</v>
      </c>
      <c r="F262" s="21">
        <f t="shared" si="97"/>
        <v>0</v>
      </c>
      <c r="G262" s="21">
        <f t="shared" si="97"/>
        <v>-0.15414366309898264</v>
      </c>
    </row>
    <row r="263" spans="2:7" x14ac:dyDescent="0.2">
      <c r="B263" s="25" t="s">
        <v>27</v>
      </c>
      <c r="C263" s="25" t="s">
        <v>28</v>
      </c>
      <c r="D263" s="24"/>
      <c r="E263" s="24"/>
      <c r="F263" s="24"/>
      <c r="G263" s="26">
        <f>AVERAGE(D260:G260)</f>
        <v>1.4375406120955551E-2</v>
      </c>
    </row>
    <row r="264" spans="2:7" x14ac:dyDescent="0.2">
      <c r="B264" s="24"/>
      <c r="C264" s="25" t="s">
        <v>29</v>
      </c>
      <c r="D264" s="24"/>
      <c r="E264" s="24"/>
      <c r="F264" s="24"/>
      <c r="G264" s="26">
        <f>AVERAGE(D261:G261)</f>
        <v>-2.6970675460185167E-2</v>
      </c>
    </row>
    <row r="265" spans="2:7" x14ac:dyDescent="0.2">
      <c r="B265" s="27"/>
      <c r="C265" s="28" t="s">
        <v>30</v>
      </c>
      <c r="D265" s="27"/>
      <c r="E265" s="27"/>
      <c r="F265" s="27"/>
      <c r="G265" s="29">
        <f>AVERAGE(D262:G262)</f>
        <v>1.4651598430113488E-3</v>
      </c>
    </row>
    <row r="267" spans="2:7" x14ac:dyDescent="0.2">
      <c r="B267" s="31" t="s">
        <v>31</v>
      </c>
      <c r="C267" s="32"/>
      <c r="D267" s="32"/>
      <c r="E267" s="32"/>
      <c r="F267" s="32"/>
      <c r="G267" s="32"/>
    </row>
    <row r="268" spans="2:7" x14ac:dyDescent="0.2">
      <c r="B268" s="36" t="s">
        <v>33</v>
      </c>
      <c r="C268" s="33"/>
      <c r="D268" s="33"/>
      <c r="E268" s="36" t="s">
        <v>6</v>
      </c>
      <c r="F268" s="36" t="s">
        <v>7</v>
      </c>
      <c r="G268" s="36" t="s">
        <v>8</v>
      </c>
    </row>
    <row r="269" spans="2:7" x14ac:dyDescent="0.2">
      <c r="B269" s="37">
        <f>B246+1</f>
        <v>12</v>
      </c>
      <c r="C269" s="34"/>
      <c r="D269" s="34"/>
      <c r="E269" s="35">
        <f>E246-lr*G263</f>
        <v>-3.0206906028466118</v>
      </c>
      <c r="F269" s="35">
        <f>F246-lr*G264</f>
        <v>1.5366964009581285</v>
      </c>
      <c r="G269" s="35">
        <f>G246-lr*G265</f>
        <v>2.2482287753839159</v>
      </c>
    </row>
    <row r="270" spans="2:7" x14ac:dyDescent="0.2">
      <c r="B270" s="4" t="s">
        <v>14</v>
      </c>
      <c r="C270" s="4" t="s">
        <v>15</v>
      </c>
      <c r="D270" s="5" cm="1">
        <f t="array" ref="D270:G270">TRANSPOSE($D$6:$D$9)</f>
        <v>0</v>
      </c>
      <c r="E270" s="5">
        <v>0</v>
      </c>
      <c r="F270" s="5">
        <v>0</v>
      </c>
      <c r="G270" s="5">
        <v>1</v>
      </c>
    </row>
    <row r="271" spans="2:7" x14ac:dyDescent="0.2">
      <c r="B271" s="11" t="s">
        <v>4</v>
      </c>
      <c r="C271" s="11" t="s">
        <v>9</v>
      </c>
      <c r="D271" s="12" cm="1">
        <f t="array" ref="D271:G272">TRANSPOSE($B$6:$C$9)</f>
        <v>0</v>
      </c>
      <c r="E271" s="12">
        <v>0</v>
      </c>
      <c r="F271" s="12">
        <v>1</v>
      </c>
      <c r="G271" s="12">
        <v>1</v>
      </c>
    </row>
    <row r="272" spans="2:7" x14ac:dyDescent="0.2">
      <c r="B272" s="15"/>
      <c r="C272" s="13" t="s">
        <v>10</v>
      </c>
      <c r="D272" s="14">
        <v>0</v>
      </c>
      <c r="E272" s="14">
        <v>1</v>
      </c>
      <c r="F272" s="14">
        <v>0</v>
      </c>
      <c r="G272" s="14">
        <v>1</v>
      </c>
    </row>
    <row r="273" spans="2:7" x14ac:dyDescent="0.2">
      <c r="B273" s="6" t="s">
        <v>13</v>
      </c>
      <c r="C273" s="6" t="s">
        <v>11</v>
      </c>
      <c r="D273" s="7" cm="1">
        <f t="array" ref="D273:G273">MMULT(F269:G269,_xlfn.ANCHORARRAY(D271))+E269</f>
        <v>-3.0206906028466118</v>
      </c>
      <c r="E273" s="7">
        <v>-0.77246182746269598</v>
      </c>
      <c r="F273" s="7">
        <v>-1.4839942018884833</v>
      </c>
      <c r="G273" s="7">
        <v>0.76423457349543256</v>
      </c>
    </row>
    <row r="274" spans="2:7" x14ac:dyDescent="0.2">
      <c r="B274" s="5"/>
      <c r="C274" s="4" t="s">
        <v>12</v>
      </c>
      <c r="D274" s="8">
        <f>1/(1+EXP(-D273))</f>
        <v>4.6499845243786801E-2</v>
      </c>
      <c r="E274" s="8">
        <f>1/(1+EXP(-E273))</f>
        <v>0.31594680430730854</v>
      </c>
      <c r="F274" s="8">
        <f>1/(1+EXP(-F273))</f>
        <v>0.18482487657334123</v>
      </c>
      <c r="G274" s="8">
        <f>1/(1+EXP(-G273))</f>
        <v>0.68227239865999378</v>
      </c>
    </row>
    <row r="275" spans="2:7" x14ac:dyDescent="0.2">
      <c r="B275" s="9" t="s">
        <v>16</v>
      </c>
      <c r="C275" s="9" t="s">
        <v>19</v>
      </c>
      <c r="D275" s="10">
        <f>POWER(D274-D270,2)</f>
        <v>2.1622356076961219E-3</v>
      </c>
      <c r="E275" s="10">
        <f t="shared" ref="E275:G275" si="98">POWER(E274-E270,2)</f>
        <v>9.9822383152000718E-2</v>
      </c>
      <c r="F275" s="10">
        <f t="shared" si="98"/>
        <v>3.4160235000350821E-2</v>
      </c>
      <c r="G275" s="10">
        <f t="shared" si="98"/>
        <v>0.10095082865327391</v>
      </c>
    </row>
    <row r="276" spans="2:7" x14ac:dyDescent="0.2">
      <c r="B276" s="22" t="s">
        <v>5</v>
      </c>
      <c r="C276" s="22" t="s">
        <v>17</v>
      </c>
      <c r="D276" s="23"/>
      <c r="E276" s="23"/>
      <c r="F276" s="23"/>
      <c r="G276" s="38">
        <f>SUM(D275:G275)</f>
        <v>0.23709568241332157</v>
      </c>
    </row>
    <row r="277" spans="2:7" x14ac:dyDescent="0.2">
      <c r="B277" s="2" t="s">
        <v>18</v>
      </c>
      <c r="C277" s="9" t="s">
        <v>20</v>
      </c>
      <c r="D277" s="10">
        <f>2*(D274-D270)</f>
        <v>9.2999690487573602E-2</v>
      </c>
      <c r="E277" s="10">
        <f t="shared" ref="E277:G277" si="99">2*(E274-E270)</f>
        <v>0.63189360861461707</v>
      </c>
      <c r="F277" s="10">
        <f t="shared" si="99"/>
        <v>0.36964975314668247</v>
      </c>
      <c r="G277" s="10">
        <f t="shared" si="99"/>
        <v>-0.63545520268001243</v>
      </c>
    </row>
    <row r="278" spans="2:7" x14ac:dyDescent="0.2">
      <c r="C278" s="4" t="s">
        <v>21</v>
      </c>
      <c r="D278" s="8">
        <f>D274*(1-D274)</f>
        <v>4.433760963609068E-2</v>
      </c>
      <c r="E278" s="8">
        <f t="shared" ref="E278:G278" si="100">E274*(1-E274)</f>
        <v>0.21612442115530781</v>
      </c>
      <c r="F278" s="8">
        <f t="shared" si="100"/>
        <v>0.15066464157299042</v>
      </c>
      <c r="G278" s="8">
        <f t="shared" si="100"/>
        <v>0.21677677268673229</v>
      </c>
    </row>
    <row r="279" spans="2:7" x14ac:dyDescent="0.2">
      <c r="C279" s="9" t="s">
        <v>23</v>
      </c>
      <c r="D279" s="17">
        <v>1</v>
      </c>
      <c r="E279" s="17">
        <v>1</v>
      </c>
      <c r="F279" s="17">
        <v>1</v>
      </c>
      <c r="G279" s="17">
        <v>1</v>
      </c>
    </row>
    <row r="280" spans="2:7" x14ac:dyDescent="0.2">
      <c r="B280" s="16"/>
      <c r="C280" s="11" t="s">
        <v>24</v>
      </c>
      <c r="D280" s="12" cm="1">
        <f t="array" ref="D280:G281">_xlfn.ANCHORARRAY(D271)</f>
        <v>0</v>
      </c>
      <c r="E280" s="12">
        <v>0</v>
      </c>
      <c r="F280" s="12">
        <v>1</v>
      </c>
      <c r="G280" s="12">
        <v>1</v>
      </c>
    </row>
    <row r="281" spans="2:7" x14ac:dyDescent="0.2">
      <c r="B281" s="16"/>
      <c r="C281" s="13"/>
      <c r="D281" s="14">
        <v>0</v>
      </c>
      <c r="E281" s="14">
        <v>1</v>
      </c>
      <c r="F281" s="14">
        <v>0</v>
      </c>
      <c r="G281" s="14">
        <v>1</v>
      </c>
    </row>
    <row r="282" spans="2:7" x14ac:dyDescent="0.2">
      <c r="C282" s="9" t="s">
        <v>22</v>
      </c>
      <c r="D282" s="18">
        <f>D277*D278</f>
        <v>4.1233839731152945E-3</v>
      </c>
      <c r="E282" s="18">
        <f t="shared" ref="E282:G282" si="101">E277*E278</f>
        <v>0.13656764039357275</v>
      </c>
      <c r="F282" s="18">
        <f t="shared" si="101"/>
        <v>5.5693147565389303E-2</v>
      </c>
      <c r="G282" s="18">
        <f t="shared" si="101"/>
        <v>-0.13775192802396646</v>
      </c>
    </row>
    <row r="283" spans="2:7" x14ac:dyDescent="0.2">
      <c r="C283" s="9" t="s">
        <v>25</v>
      </c>
      <c r="D283" s="10">
        <f>D282*D279</f>
        <v>4.1233839731152945E-3</v>
      </c>
      <c r="E283" s="10">
        <f t="shared" ref="E283" si="102">E282*E279</f>
        <v>0.13656764039357275</v>
      </c>
      <c r="F283" s="10">
        <f t="shared" ref="F283" si="103">F282*F279</f>
        <v>5.5693147565389303E-2</v>
      </c>
      <c r="G283" s="10">
        <f t="shared" ref="G283" si="104">G282*G279</f>
        <v>-0.13775192802396646</v>
      </c>
    </row>
    <row r="284" spans="2:7" x14ac:dyDescent="0.2">
      <c r="B284" s="30"/>
      <c r="C284" s="19" t="s">
        <v>26</v>
      </c>
      <c r="D284" s="20">
        <f>D282*D280</f>
        <v>0</v>
      </c>
      <c r="E284" s="20">
        <f t="shared" ref="E284:G284" si="105">E282*E280</f>
        <v>0</v>
      </c>
      <c r="F284" s="20">
        <f t="shared" si="105"/>
        <v>5.5693147565389303E-2</v>
      </c>
      <c r="G284" s="20">
        <f t="shared" si="105"/>
        <v>-0.13775192802396646</v>
      </c>
    </row>
    <row r="285" spans="2:7" x14ac:dyDescent="0.2">
      <c r="B285" s="15"/>
      <c r="C285" s="15"/>
      <c r="D285" s="21">
        <f>D282*D281</f>
        <v>0</v>
      </c>
      <c r="E285" s="21">
        <f t="shared" ref="E285:G285" si="106">E282*E281</f>
        <v>0.13656764039357275</v>
      </c>
      <c r="F285" s="21">
        <f t="shared" si="106"/>
        <v>0</v>
      </c>
      <c r="G285" s="21">
        <f t="shared" si="106"/>
        <v>-0.13775192802396646</v>
      </c>
    </row>
    <row r="286" spans="2:7" x14ac:dyDescent="0.2">
      <c r="B286" s="25" t="s">
        <v>27</v>
      </c>
      <c r="C286" s="25" t="s">
        <v>28</v>
      </c>
      <c r="D286" s="24"/>
      <c r="E286" s="24"/>
      <c r="F286" s="24"/>
      <c r="G286" s="26">
        <f>AVERAGE(D283:G283)</f>
        <v>1.4658060977027723E-2</v>
      </c>
    </row>
    <row r="287" spans="2:7" x14ac:dyDescent="0.2">
      <c r="B287" s="24"/>
      <c r="C287" s="25" t="s">
        <v>29</v>
      </c>
      <c r="D287" s="24"/>
      <c r="E287" s="24"/>
      <c r="F287" s="24"/>
      <c r="G287" s="26">
        <f>AVERAGE(D284:G284)</f>
        <v>-2.051469511464429E-2</v>
      </c>
    </row>
    <row r="288" spans="2:7" x14ac:dyDescent="0.2">
      <c r="B288" s="27"/>
      <c r="C288" s="28" t="s">
        <v>30</v>
      </c>
      <c r="D288" s="27"/>
      <c r="E288" s="27"/>
      <c r="F288" s="27"/>
      <c r="G288" s="29">
        <f>AVERAGE(D285:G285)</f>
        <v>-2.9607190759842889E-4</v>
      </c>
    </row>
    <row r="290" spans="2:7" x14ac:dyDescent="0.2">
      <c r="B290" s="31" t="s">
        <v>31</v>
      </c>
      <c r="C290" s="32"/>
      <c r="D290" s="32"/>
      <c r="E290" s="32"/>
      <c r="F290" s="32"/>
      <c r="G290" s="32"/>
    </row>
    <row r="291" spans="2:7" x14ac:dyDescent="0.2">
      <c r="B291" s="36" t="s">
        <v>33</v>
      </c>
      <c r="C291" s="33"/>
      <c r="D291" s="33"/>
      <c r="E291" s="36" t="s">
        <v>6</v>
      </c>
      <c r="F291" s="36" t="s">
        <v>7</v>
      </c>
      <c r="G291" s="36" t="s">
        <v>8</v>
      </c>
    </row>
    <row r="292" spans="2:7" x14ac:dyDescent="0.2">
      <c r="B292" s="37">
        <f>B269+1</f>
        <v>13</v>
      </c>
      <c r="C292" s="34"/>
      <c r="D292" s="34"/>
      <c r="E292" s="35">
        <f>E269-lr*G286</f>
        <v>-3.1672712126168889</v>
      </c>
      <c r="F292" s="35">
        <f>F269-lr*G287</f>
        <v>1.7418433521045715</v>
      </c>
      <c r="G292" s="35">
        <f>G269-lr*G288</f>
        <v>2.2511894944599002</v>
      </c>
    </row>
    <row r="293" spans="2:7" x14ac:dyDescent="0.2">
      <c r="B293" s="4" t="s">
        <v>14</v>
      </c>
      <c r="C293" s="4" t="s">
        <v>15</v>
      </c>
      <c r="D293" s="5" cm="1">
        <f t="array" ref="D293:G293">TRANSPOSE($D$6:$D$9)</f>
        <v>0</v>
      </c>
      <c r="E293" s="5">
        <v>0</v>
      </c>
      <c r="F293" s="5">
        <v>0</v>
      </c>
      <c r="G293" s="5">
        <v>1</v>
      </c>
    </row>
    <row r="294" spans="2:7" x14ac:dyDescent="0.2">
      <c r="B294" s="11" t="s">
        <v>4</v>
      </c>
      <c r="C294" s="11" t="s">
        <v>9</v>
      </c>
      <c r="D294" s="12" cm="1">
        <f t="array" ref="D294:G295">TRANSPOSE($B$6:$C$9)</f>
        <v>0</v>
      </c>
      <c r="E294" s="12">
        <v>0</v>
      </c>
      <c r="F294" s="12">
        <v>1</v>
      </c>
      <c r="G294" s="12">
        <v>1</v>
      </c>
    </row>
    <row r="295" spans="2:7" x14ac:dyDescent="0.2">
      <c r="B295" s="15"/>
      <c r="C295" s="13" t="s">
        <v>10</v>
      </c>
      <c r="D295" s="14">
        <v>0</v>
      </c>
      <c r="E295" s="14">
        <v>1</v>
      </c>
      <c r="F295" s="14">
        <v>0</v>
      </c>
      <c r="G295" s="14">
        <v>1</v>
      </c>
    </row>
    <row r="296" spans="2:7" x14ac:dyDescent="0.2">
      <c r="B296" s="6" t="s">
        <v>13</v>
      </c>
      <c r="C296" s="6" t="s">
        <v>11</v>
      </c>
      <c r="D296" s="7" cm="1">
        <f t="array" ref="D296:G296">MMULT(F292:G292,_xlfn.ANCHORARRAY(D294))+E292</f>
        <v>-3.1672712126168889</v>
      </c>
      <c r="E296" s="7">
        <v>-0.91608171815698869</v>
      </c>
      <c r="F296" s="7">
        <v>-1.4254278605123174</v>
      </c>
      <c r="G296" s="7">
        <v>0.82576163394758284</v>
      </c>
    </row>
    <row r="297" spans="2:7" x14ac:dyDescent="0.2">
      <c r="B297" s="5"/>
      <c r="C297" s="4" t="s">
        <v>12</v>
      </c>
      <c r="D297" s="8">
        <f>1/(1+EXP(-D296))</f>
        <v>4.0416112408552564E-2</v>
      </c>
      <c r="E297" s="8">
        <f>1/(1+EXP(-E296))</f>
        <v>0.28575694348536074</v>
      </c>
      <c r="F297" s="8">
        <f>1/(1+EXP(-F296))</f>
        <v>0.19381207630753861</v>
      </c>
      <c r="G297" s="8">
        <f>1/(1+EXP(-G296))</f>
        <v>0.69545800450919792</v>
      </c>
    </row>
    <row r="298" spans="2:7" x14ac:dyDescent="0.2">
      <c r="B298" s="9" t="s">
        <v>16</v>
      </c>
      <c r="C298" s="9" t="s">
        <v>19</v>
      </c>
      <c r="D298" s="10">
        <f>POWER(D297-D293,2)</f>
        <v>1.6334621422207565E-3</v>
      </c>
      <c r="E298" s="10">
        <f t="shared" ref="E298:G298" si="107">POWER(E297-E293,2)</f>
        <v>8.1657030750095644E-2</v>
      </c>
      <c r="F298" s="10">
        <f t="shared" si="107"/>
        <v>3.7563120922639165E-2</v>
      </c>
      <c r="G298" s="10">
        <f t="shared" si="107"/>
        <v>9.2745827017519711E-2</v>
      </c>
    </row>
    <row r="299" spans="2:7" x14ac:dyDescent="0.2">
      <c r="B299" s="22" t="s">
        <v>5</v>
      </c>
      <c r="C299" s="22" t="s">
        <v>17</v>
      </c>
      <c r="D299" s="23"/>
      <c r="E299" s="23"/>
      <c r="F299" s="23"/>
      <c r="G299" s="38">
        <f>SUM(D298:G298)</f>
        <v>0.21359944083247528</v>
      </c>
    </row>
    <row r="300" spans="2:7" x14ac:dyDescent="0.2">
      <c r="B300" s="2" t="s">
        <v>18</v>
      </c>
      <c r="C300" s="9" t="s">
        <v>20</v>
      </c>
      <c r="D300" s="10">
        <f>2*(D297-D293)</f>
        <v>8.0832224817105128E-2</v>
      </c>
      <c r="E300" s="10">
        <f t="shared" ref="E300:G300" si="108">2*(E297-E293)</f>
        <v>0.57151388697072147</v>
      </c>
      <c r="F300" s="10">
        <f t="shared" si="108"/>
        <v>0.38762415261507721</v>
      </c>
      <c r="G300" s="10">
        <f t="shared" si="108"/>
        <v>-0.60908399098160415</v>
      </c>
    </row>
    <row r="301" spans="2:7" x14ac:dyDescent="0.2">
      <c r="C301" s="4" t="s">
        <v>21</v>
      </c>
      <c r="D301" s="8">
        <f>D297*(1-D297)</f>
        <v>3.8782650266331806E-2</v>
      </c>
      <c r="E301" s="8">
        <f t="shared" ref="E301:G301" si="109">E297*(1-E297)</f>
        <v>0.20409991273526509</v>
      </c>
      <c r="F301" s="8">
        <f t="shared" si="109"/>
        <v>0.15624895538489944</v>
      </c>
      <c r="G301" s="8">
        <f t="shared" si="109"/>
        <v>0.21179616847328236</v>
      </c>
    </row>
    <row r="302" spans="2:7" x14ac:dyDescent="0.2">
      <c r="C302" s="9" t="s">
        <v>23</v>
      </c>
      <c r="D302" s="17">
        <v>1</v>
      </c>
      <c r="E302" s="17">
        <v>1</v>
      </c>
      <c r="F302" s="17">
        <v>1</v>
      </c>
      <c r="G302" s="17">
        <v>1</v>
      </c>
    </row>
    <row r="303" spans="2:7" x14ac:dyDescent="0.2">
      <c r="B303" s="16"/>
      <c r="C303" s="11" t="s">
        <v>24</v>
      </c>
      <c r="D303" s="12" cm="1">
        <f t="array" ref="D303:G304">_xlfn.ANCHORARRAY(D294)</f>
        <v>0</v>
      </c>
      <c r="E303" s="12">
        <v>0</v>
      </c>
      <c r="F303" s="12">
        <v>1</v>
      </c>
      <c r="G303" s="12">
        <v>1</v>
      </c>
    </row>
    <row r="304" spans="2:7" x14ac:dyDescent="0.2">
      <c r="B304" s="16"/>
      <c r="C304" s="13"/>
      <c r="D304" s="14">
        <v>0</v>
      </c>
      <c r="E304" s="14">
        <v>1</v>
      </c>
      <c r="F304" s="14">
        <v>0</v>
      </c>
      <c r="G304" s="14">
        <v>1</v>
      </c>
    </row>
    <row r="305" spans="2:7" x14ac:dyDescent="0.2">
      <c r="C305" s="9" t="s">
        <v>22</v>
      </c>
      <c r="D305" s="18">
        <f>D300*D301</f>
        <v>3.1348879053312946E-3</v>
      </c>
      <c r="E305" s="18">
        <f t="shared" ref="E305:G305" si="110">E300*E301</f>
        <v>0.11664593445771641</v>
      </c>
      <c r="F305" s="18">
        <f t="shared" si="110"/>
        <v>6.0565868928062649E-2</v>
      </c>
      <c r="G305" s="18">
        <f t="shared" si="110"/>
        <v>-0.12900165556831902</v>
      </c>
    </row>
    <row r="306" spans="2:7" x14ac:dyDescent="0.2">
      <c r="C306" s="9" t="s">
        <v>25</v>
      </c>
      <c r="D306" s="10">
        <f>D305*D302</f>
        <v>3.1348879053312946E-3</v>
      </c>
      <c r="E306" s="10">
        <f t="shared" ref="E306" si="111">E305*E302</f>
        <v>0.11664593445771641</v>
      </c>
      <c r="F306" s="10">
        <f t="shared" ref="F306" si="112">F305*F302</f>
        <v>6.0565868928062649E-2</v>
      </c>
      <c r="G306" s="10">
        <f t="shared" ref="G306" si="113">G305*G302</f>
        <v>-0.12900165556831902</v>
      </c>
    </row>
    <row r="307" spans="2:7" x14ac:dyDescent="0.2">
      <c r="B307" s="30"/>
      <c r="C307" s="19" t="s">
        <v>26</v>
      </c>
      <c r="D307" s="20">
        <f>D305*D303</f>
        <v>0</v>
      </c>
      <c r="E307" s="20">
        <f t="shared" ref="E307:G307" si="114">E305*E303</f>
        <v>0</v>
      </c>
      <c r="F307" s="20">
        <f t="shared" si="114"/>
        <v>6.0565868928062649E-2</v>
      </c>
      <c r="G307" s="20">
        <f t="shared" si="114"/>
        <v>-0.12900165556831902</v>
      </c>
    </row>
    <row r="308" spans="2:7" x14ac:dyDescent="0.2">
      <c r="B308" s="15"/>
      <c r="C308" s="15"/>
      <c r="D308" s="21">
        <f>D305*D304</f>
        <v>0</v>
      </c>
      <c r="E308" s="21">
        <f t="shared" ref="E308:G308" si="115">E305*E304</f>
        <v>0.11664593445771641</v>
      </c>
      <c r="F308" s="21">
        <f t="shared" si="115"/>
        <v>0</v>
      </c>
      <c r="G308" s="21">
        <f t="shared" si="115"/>
        <v>-0.12900165556831902</v>
      </c>
    </row>
    <row r="309" spans="2:7" x14ac:dyDescent="0.2">
      <c r="B309" s="25" t="s">
        <v>27</v>
      </c>
      <c r="C309" s="25" t="s">
        <v>28</v>
      </c>
      <c r="D309" s="24"/>
      <c r="E309" s="24"/>
      <c r="F309" s="24"/>
      <c r="G309" s="26">
        <f>AVERAGE(D306:G306)</f>
        <v>1.2836258930697834E-2</v>
      </c>
    </row>
    <row r="310" spans="2:7" x14ac:dyDescent="0.2">
      <c r="B310" s="24"/>
      <c r="C310" s="25" t="s">
        <v>29</v>
      </c>
      <c r="D310" s="24"/>
      <c r="E310" s="24"/>
      <c r="F310" s="24"/>
      <c r="G310" s="26">
        <f>AVERAGE(D307:G307)</f>
        <v>-1.7108946660064094E-2</v>
      </c>
    </row>
    <row r="311" spans="2:7" x14ac:dyDescent="0.2">
      <c r="B311" s="27"/>
      <c r="C311" s="28" t="s">
        <v>30</v>
      </c>
      <c r="D311" s="27"/>
      <c r="E311" s="27"/>
      <c r="F311" s="27"/>
      <c r="G311" s="29">
        <f>AVERAGE(D308:G308)</f>
        <v>-3.0889302776506526E-3</v>
      </c>
    </row>
    <row r="313" spans="2:7" x14ac:dyDescent="0.2">
      <c r="B313" s="31" t="s">
        <v>31</v>
      </c>
      <c r="C313" s="32"/>
      <c r="D313" s="32"/>
      <c r="E313" s="32"/>
      <c r="F313" s="32"/>
      <c r="G313" s="32"/>
    </row>
    <row r="314" spans="2:7" x14ac:dyDescent="0.2">
      <c r="B314" s="36" t="s">
        <v>33</v>
      </c>
      <c r="C314" s="33"/>
      <c r="D314" s="33"/>
      <c r="E314" s="36" t="s">
        <v>6</v>
      </c>
      <c r="F314" s="36" t="s">
        <v>7</v>
      </c>
      <c r="G314" s="36" t="s">
        <v>8</v>
      </c>
    </row>
    <row r="315" spans="2:7" x14ac:dyDescent="0.2">
      <c r="B315" s="37">
        <f>B292+1</f>
        <v>14</v>
      </c>
      <c r="C315" s="34"/>
      <c r="D315" s="34"/>
      <c r="E315" s="35">
        <f>E292-lr*G309</f>
        <v>-3.2956338019238673</v>
      </c>
      <c r="F315" s="35">
        <f>F292-lr*G310</f>
        <v>1.9129328187052126</v>
      </c>
      <c r="G315" s="35">
        <f>G292-lr*G311</f>
        <v>2.2820787972364069</v>
      </c>
    </row>
    <row r="316" spans="2:7" x14ac:dyDescent="0.2">
      <c r="B316" s="4" t="s">
        <v>14</v>
      </c>
      <c r="C316" s="4" t="s">
        <v>15</v>
      </c>
      <c r="D316" s="5" cm="1">
        <f t="array" ref="D316:G316">TRANSPOSE($D$6:$D$9)</f>
        <v>0</v>
      </c>
      <c r="E316" s="5">
        <v>0</v>
      </c>
      <c r="F316" s="5">
        <v>0</v>
      </c>
      <c r="G316" s="5">
        <v>1</v>
      </c>
    </row>
    <row r="317" spans="2:7" x14ac:dyDescent="0.2">
      <c r="B317" s="11" t="s">
        <v>4</v>
      </c>
      <c r="C317" s="11" t="s">
        <v>9</v>
      </c>
      <c r="D317" s="12" cm="1">
        <f t="array" ref="D317:G318">TRANSPOSE($B$6:$C$9)</f>
        <v>0</v>
      </c>
      <c r="E317" s="12">
        <v>0</v>
      </c>
      <c r="F317" s="12">
        <v>1</v>
      </c>
      <c r="G317" s="12">
        <v>1</v>
      </c>
    </row>
    <row r="318" spans="2:7" x14ac:dyDescent="0.2">
      <c r="B318" s="15"/>
      <c r="C318" s="13" t="s">
        <v>10</v>
      </c>
      <c r="D318" s="14">
        <v>0</v>
      </c>
      <c r="E318" s="14">
        <v>1</v>
      </c>
      <c r="F318" s="14">
        <v>0</v>
      </c>
      <c r="G318" s="14">
        <v>1</v>
      </c>
    </row>
    <row r="319" spans="2:7" x14ac:dyDescent="0.2">
      <c r="B319" s="6" t="s">
        <v>13</v>
      </c>
      <c r="C319" s="6" t="s">
        <v>11</v>
      </c>
      <c r="D319" s="7" cm="1">
        <f t="array" ref="D319:G319">MMULT(F315:G315,_xlfn.ANCHORARRAY(D317))+E315</f>
        <v>-3.2956338019238673</v>
      </c>
      <c r="E319" s="7">
        <v>-1.0135550046874604</v>
      </c>
      <c r="F319" s="7">
        <v>-1.3827009832186548</v>
      </c>
      <c r="G319" s="7">
        <v>0.89937781401775219</v>
      </c>
    </row>
    <row r="320" spans="2:7" x14ac:dyDescent="0.2">
      <c r="B320" s="5"/>
      <c r="C320" s="4" t="s">
        <v>12</v>
      </c>
      <c r="D320" s="8">
        <f>1/(1+EXP(-D319))</f>
        <v>3.5721279651929588E-2</v>
      </c>
      <c r="E320" s="8">
        <f>1/(1+EXP(-E319))</f>
        <v>0.26628470720057218</v>
      </c>
      <c r="F320" s="8">
        <f>1/(1+EXP(-F319))</f>
        <v>0.20057556030658344</v>
      </c>
      <c r="G320" s="8">
        <f>1/(1+EXP(-G319))</f>
        <v>0.71082162643482583</v>
      </c>
    </row>
    <row r="321" spans="2:7" x14ac:dyDescent="0.2">
      <c r="B321" s="9" t="s">
        <v>16</v>
      </c>
      <c r="C321" s="9" t="s">
        <v>19</v>
      </c>
      <c r="D321" s="10">
        <f>POWER(D320-D316,2)</f>
        <v>1.2760098199713589E-3</v>
      </c>
      <c r="E321" s="10">
        <f t="shared" ref="E321:G321" si="116">POWER(E320-E316,2)</f>
        <v>7.0907545288894452E-2</v>
      </c>
      <c r="F321" s="10">
        <f t="shared" si="116"/>
        <v>4.0230555392299888E-2</v>
      </c>
      <c r="G321" s="10">
        <f t="shared" si="116"/>
        <v>8.3624131737799423E-2</v>
      </c>
    </row>
    <row r="322" spans="2:7" x14ac:dyDescent="0.2">
      <c r="B322" s="22" t="s">
        <v>5</v>
      </c>
      <c r="C322" s="22" t="s">
        <v>17</v>
      </c>
      <c r="D322" s="23"/>
      <c r="E322" s="23"/>
      <c r="F322" s="23"/>
      <c r="G322" s="38">
        <f>SUM(D321:G321)</f>
        <v>0.19603824223896513</v>
      </c>
    </row>
    <row r="323" spans="2:7" x14ac:dyDescent="0.2">
      <c r="B323" s="2" t="s">
        <v>18</v>
      </c>
      <c r="C323" s="9" t="s">
        <v>20</v>
      </c>
      <c r="D323" s="10">
        <f>2*(D320-D316)</f>
        <v>7.1442559303859177E-2</v>
      </c>
      <c r="E323" s="10">
        <f t="shared" ref="E323:G323" si="117">2*(E320-E316)</f>
        <v>0.53256941440114436</v>
      </c>
      <c r="F323" s="10">
        <f t="shared" si="117"/>
        <v>0.40115112061316688</v>
      </c>
      <c r="G323" s="10">
        <f t="shared" si="117"/>
        <v>-0.57835674713034835</v>
      </c>
    </row>
    <row r="324" spans="2:7" x14ac:dyDescent="0.2">
      <c r="C324" s="4" t="s">
        <v>21</v>
      </c>
      <c r="D324" s="8">
        <f>D320*(1-D320)</f>
        <v>3.4445269831958225E-2</v>
      </c>
      <c r="E324" s="8">
        <f t="shared" ref="E324:G324" si="118">E320*(1-E320)</f>
        <v>0.19537716191167773</v>
      </c>
      <c r="F324" s="8">
        <f t="shared" si="118"/>
        <v>0.16034500491428355</v>
      </c>
      <c r="G324" s="8">
        <f t="shared" si="118"/>
        <v>0.20555424182737475</v>
      </c>
    </row>
    <row r="325" spans="2:7" x14ac:dyDescent="0.2">
      <c r="C325" s="9" t="s">
        <v>23</v>
      </c>
      <c r="D325" s="17">
        <v>1</v>
      </c>
      <c r="E325" s="17">
        <v>1</v>
      </c>
      <c r="F325" s="17">
        <v>1</v>
      </c>
      <c r="G325" s="17">
        <v>1</v>
      </c>
    </row>
    <row r="326" spans="2:7" x14ac:dyDescent="0.2">
      <c r="B326" s="16"/>
      <c r="C326" s="11" t="s">
        <v>24</v>
      </c>
      <c r="D326" s="12" cm="1">
        <f t="array" ref="D326:G327">_xlfn.ANCHORARRAY(D317)</f>
        <v>0</v>
      </c>
      <c r="E326" s="12">
        <v>0</v>
      </c>
      <c r="F326" s="12">
        <v>1</v>
      </c>
      <c r="G326" s="12">
        <v>1</v>
      </c>
    </row>
    <row r="327" spans="2:7" x14ac:dyDescent="0.2">
      <c r="B327" s="16"/>
      <c r="C327" s="13"/>
      <c r="D327" s="14">
        <v>0</v>
      </c>
      <c r="E327" s="14">
        <v>1</v>
      </c>
      <c r="F327" s="14">
        <v>0</v>
      </c>
      <c r="G327" s="14">
        <v>1</v>
      </c>
    </row>
    <row r="328" spans="2:7" x14ac:dyDescent="0.2">
      <c r="C328" s="9" t="s">
        <v>22</v>
      </c>
      <c r="D328" s="18">
        <f>D323*D324</f>
        <v>2.4608582327071069E-3</v>
      </c>
      <c r="E328" s="18">
        <f t="shared" ref="E328:G328" si="119">E323*E324</f>
        <v>0.10405190070665978</v>
      </c>
      <c r="F328" s="18">
        <f t="shared" si="119"/>
        <v>6.4322578406088599E-2</v>
      </c>
      <c r="G328" s="18">
        <f t="shared" si="119"/>
        <v>-0.11888368266212546</v>
      </c>
    </row>
    <row r="329" spans="2:7" x14ac:dyDescent="0.2">
      <c r="C329" s="9" t="s">
        <v>25</v>
      </c>
      <c r="D329" s="10">
        <f>D328*D325</f>
        <v>2.4608582327071069E-3</v>
      </c>
      <c r="E329" s="10">
        <f t="shared" ref="E329" si="120">E328*E325</f>
        <v>0.10405190070665978</v>
      </c>
      <c r="F329" s="10">
        <f t="shared" ref="F329" si="121">F328*F325</f>
        <v>6.4322578406088599E-2</v>
      </c>
      <c r="G329" s="10">
        <f t="shared" ref="G329" si="122">G328*G325</f>
        <v>-0.11888368266212546</v>
      </c>
    </row>
    <row r="330" spans="2:7" x14ac:dyDescent="0.2">
      <c r="B330" s="30"/>
      <c r="C330" s="19" t="s">
        <v>26</v>
      </c>
      <c r="D330" s="20">
        <f>D328*D326</f>
        <v>0</v>
      </c>
      <c r="E330" s="20">
        <f t="shared" ref="E330:G330" si="123">E328*E326</f>
        <v>0</v>
      </c>
      <c r="F330" s="20">
        <f t="shared" si="123"/>
        <v>6.4322578406088599E-2</v>
      </c>
      <c r="G330" s="20">
        <f t="shared" si="123"/>
        <v>-0.11888368266212546</v>
      </c>
    </row>
    <row r="331" spans="2:7" x14ac:dyDescent="0.2">
      <c r="B331" s="15"/>
      <c r="C331" s="15"/>
      <c r="D331" s="21">
        <f>D328*D327</f>
        <v>0</v>
      </c>
      <c r="E331" s="21">
        <f t="shared" ref="E331:G331" si="124">E328*E327</f>
        <v>0.10405190070665978</v>
      </c>
      <c r="F331" s="21">
        <f t="shared" si="124"/>
        <v>0</v>
      </c>
      <c r="G331" s="21">
        <f t="shared" si="124"/>
        <v>-0.11888368266212546</v>
      </c>
    </row>
    <row r="332" spans="2:7" x14ac:dyDescent="0.2">
      <c r="B332" s="25" t="s">
        <v>27</v>
      </c>
      <c r="C332" s="25" t="s">
        <v>28</v>
      </c>
      <c r="D332" s="24"/>
      <c r="E332" s="24"/>
      <c r="F332" s="24"/>
      <c r="G332" s="26">
        <f>AVERAGE(D329:G329)</f>
        <v>1.2987913670832504E-2</v>
      </c>
    </row>
    <row r="333" spans="2:7" x14ac:dyDescent="0.2">
      <c r="B333" s="24"/>
      <c r="C333" s="25" t="s">
        <v>29</v>
      </c>
      <c r="D333" s="24"/>
      <c r="E333" s="24"/>
      <c r="F333" s="24"/>
      <c r="G333" s="26">
        <f>AVERAGE(D330:G330)</f>
        <v>-1.3640276064009214E-2</v>
      </c>
    </row>
    <row r="334" spans="2:7" x14ac:dyDescent="0.2">
      <c r="B334" s="27"/>
      <c r="C334" s="28" t="s">
        <v>30</v>
      </c>
      <c r="D334" s="27"/>
      <c r="E334" s="27"/>
      <c r="F334" s="27"/>
      <c r="G334" s="29">
        <f>AVERAGE(D331:G331)</f>
        <v>-3.7079454888664203E-3</v>
      </c>
    </row>
    <row r="336" spans="2:7" x14ac:dyDescent="0.2">
      <c r="B336" s="31" t="s">
        <v>31</v>
      </c>
      <c r="C336" s="32"/>
      <c r="D336" s="32"/>
      <c r="E336" s="32"/>
      <c r="F336" s="32"/>
      <c r="G336" s="32"/>
    </row>
    <row r="337" spans="2:7" x14ac:dyDescent="0.2">
      <c r="B337" s="36" t="s">
        <v>33</v>
      </c>
      <c r="C337" s="33"/>
      <c r="D337" s="33"/>
      <c r="E337" s="36" t="s">
        <v>6</v>
      </c>
      <c r="F337" s="36" t="s">
        <v>7</v>
      </c>
      <c r="G337" s="36" t="s">
        <v>8</v>
      </c>
    </row>
    <row r="338" spans="2:7" x14ac:dyDescent="0.2">
      <c r="B338" s="37">
        <f>B315+1</f>
        <v>15</v>
      </c>
      <c r="C338" s="34"/>
      <c r="D338" s="34"/>
      <c r="E338" s="35">
        <f>E315-lr*G332</f>
        <v>-3.4255129386321923</v>
      </c>
      <c r="F338" s="35">
        <f>F315-lr*G333</f>
        <v>2.0493355793453047</v>
      </c>
      <c r="G338" s="35">
        <f>G315-lr*G334</f>
        <v>2.3191582521250713</v>
      </c>
    </row>
    <row r="339" spans="2:7" x14ac:dyDescent="0.2">
      <c r="B339" s="4" t="s">
        <v>14</v>
      </c>
      <c r="C339" s="4" t="s">
        <v>15</v>
      </c>
      <c r="D339" s="5" cm="1">
        <f t="array" ref="D339:G339">TRANSPOSE($D$6:$D$9)</f>
        <v>0</v>
      </c>
      <c r="E339" s="5">
        <v>0</v>
      </c>
      <c r="F339" s="5">
        <v>0</v>
      </c>
      <c r="G339" s="5">
        <v>1</v>
      </c>
    </row>
    <row r="340" spans="2:7" x14ac:dyDescent="0.2">
      <c r="B340" s="11" t="s">
        <v>4</v>
      </c>
      <c r="C340" s="11" t="s">
        <v>9</v>
      </c>
      <c r="D340" s="12" cm="1">
        <f t="array" ref="D340:G341">TRANSPOSE($B$6:$C$9)</f>
        <v>0</v>
      </c>
      <c r="E340" s="12">
        <v>0</v>
      </c>
      <c r="F340" s="12">
        <v>1</v>
      </c>
      <c r="G340" s="12">
        <v>1</v>
      </c>
    </row>
    <row r="341" spans="2:7" x14ac:dyDescent="0.2">
      <c r="B341" s="15"/>
      <c r="C341" s="13" t="s">
        <v>10</v>
      </c>
      <c r="D341" s="14">
        <v>0</v>
      </c>
      <c r="E341" s="14">
        <v>1</v>
      </c>
      <c r="F341" s="14">
        <v>0</v>
      </c>
      <c r="G341" s="14">
        <v>1</v>
      </c>
    </row>
    <row r="342" spans="2:7" x14ac:dyDescent="0.2">
      <c r="B342" s="6" t="s">
        <v>13</v>
      </c>
      <c r="C342" s="6" t="s">
        <v>11</v>
      </c>
      <c r="D342" s="7" cm="1">
        <f t="array" ref="D342:G342">MMULT(F338:G338,_xlfn.ANCHORARRAY(D340))+E338</f>
        <v>-3.4255129386321923</v>
      </c>
      <c r="E342" s="7">
        <v>-1.106354686507121</v>
      </c>
      <c r="F342" s="7">
        <v>-1.3761773592868876</v>
      </c>
      <c r="G342" s="7">
        <v>0.94298089283818376</v>
      </c>
    </row>
    <row r="343" spans="2:7" x14ac:dyDescent="0.2">
      <c r="B343" s="5"/>
      <c r="C343" s="4" t="s">
        <v>12</v>
      </c>
      <c r="D343" s="8">
        <f>1/(1+EXP(-D342))</f>
        <v>3.1507566751798478E-2</v>
      </c>
      <c r="E343" s="8">
        <f>1/(1+EXP(-E342))</f>
        <v>0.24855111210956154</v>
      </c>
      <c r="F343" s="8">
        <f>1/(1+EXP(-F342))</f>
        <v>0.20162363433802427</v>
      </c>
      <c r="G343" s="8">
        <f>1/(1+EXP(-G342))</f>
        <v>0.7197013904341093</v>
      </c>
    </row>
    <row r="344" spans="2:7" x14ac:dyDescent="0.2">
      <c r="B344" s="9" t="s">
        <v>16</v>
      </c>
      <c r="C344" s="9" t="s">
        <v>19</v>
      </c>
      <c r="D344" s="10">
        <f>POWER(D343-D339,2)</f>
        <v>9.9272676261903691E-4</v>
      </c>
      <c r="E344" s="10">
        <f t="shared" ref="E344:G344" si="125">POWER(E343-E339,2)</f>
        <v>6.1777655330899829E-2</v>
      </c>
      <c r="F344" s="10">
        <f t="shared" si="125"/>
        <v>4.0652089923673321E-2</v>
      </c>
      <c r="G344" s="10">
        <f t="shared" si="125"/>
        <v>7.8567310524571637E-2</v>
      </c>
    </row>
    <row r="345" spans="2:7" x14ac:dyDescent="0.2">
      <c r="B345" s="22" t="s">
        <v>5</v>
      </c>
      <c r="C345" s="22" t="s">
        <v>17</v>
      </c>
      <c r="D345" s="23"/>
      <c r="E345" s="23"/>
      <c r="F345" s="23"/>
      <c r="G345" s="38">
        <f>SUM(D344:G344)</f>
        <v>0.18198978254176384</v>
      </c>
    </row>
    <row r="346" spans="2:7" x14ac:dyDescent="0.2">
      <c r="B346" s="2" t="s">
        <v>18</v>
      </c>
      <c r="C346" s="9" t="s">
        <v>20</v>
      </c>
      <c r="D346" s="10">
        <f>2*(D343-D339)</f>
        <v>6.3015133503596957E-2</v>
      </c>
      <c r="E346" s="10">
        <f t="shared" ref="E346:G346" si="126">2*(E343-E339)</f>
        <v>0.49710222421912309</v>
      </c>
      <c r="F346" s="10">
        <f t="shared" si="126"/>
        <v>0.40324726867604854</v>
      </c>
      <c r="G346" s="10">
        <f t="shared" si="126"/>
        <v>-0.5605972191317814</v>
      </c>
    </row>
    <row r="347" spans="2:7" x14ac:dyDescent="0.2">
      <c r="C347" s="4" t="s">
        <v>21</v>
      </c>
      <c r="D347" s="8">
        <f>D343*(1-D343)</f>
        <v>3.0514839989179442E-2</v>
      </c>
      <c r="E347" s="8">
        <f t="shared" ref="E347:G347" si="127">E343*(1-E343)</f>
        <v>0.1867734567786617</v>
      </c>
      <c r="F347" s="8">
        <f t="shared" si="127"/>
        <v>0.16097154441435096</v>
      </c>
      <c r="G347" s="8">
        <f t="shared" si="127"/>
        <v>0.20173129904131906</v>
      </c>
    </row>
    <row r="348" spans="2:7" x14ac:dyDescent="0.2">
      <c r="C348" s="9" t="s">
        <v>23</v>
      </c>
      <c r="D348" s="17">
        <v>1</v>
      </c>
      <c r="E348" s="17">
        <v>1</v>
      </c>
      <c r="F348" s="17">
        <v>1</v>
      </c>
      <c r="G348" s="17">
        <v>1</v>
      </c>
    </row>
    <row r="349" spans="2:7" x14ac:dyDescent="0.2">
      <c r="B349" s="16"/>
      <c r="C349" s="11" t="s">
        <v>24</v>
      </c>
      <c r="D349" s="12" cm="1">
        <f t="array" ref="D349:G350">_xlfn.ANCHORARRAY(D340)</f>
        <v>0</v>
      </c>
      <c r="E349" s="12">
        <v>0</v>
      </c>
      <c r="F349" s="12">
        <v>1</v>
      </c>
      <c r="G349" s="12">
        <v>1</v>
      </c>
    </row>
    <row r="350" spans="2:7" x14ac:dyDescent="0.2">
      <c r="B350" s="16"/>
      <c r="C350" s="13"/>
      <c r="D350" s="14">
        <v>0</v>
      </c>
      <c r="E350" s="14">
        <v>1</v>
      </c>
      <c r="F350" s="14">
        <v>0</v>
      </c>
      <c r="G350" s="14">
        <v>1</v>
      </c>
    </row>
    <row r="351" spans="2:7" x14ac:dyDescent="0.2">
      <c r="C351" s="9" t="s">
        <v>22</v>
      </c>
      <c r="D351" s="18">
        <f>D346*D347</f>
        <v>1.9228967157590416E-3</v>
      </c>
      <c r="E351" s="18">
        <f t="shared" ref="E351:G351" si="128">E346*E347</f>
        <v>9.2845500789766985E-2</v>
      </c>
      <c r="F351" s="18">
        <f t="shared" si="128"/>
        <v>6.4911335619652261E-2</v>
      </c>
      <c r="G351" s="18">
        <f t="shared" si="128"/>
        <v>-0.11309000525440527</v>
      </c>
    </row>
    <row r="352" spans="2:7" x14ac:dyDescent="0.2">
      <c r="C352" s="9" t="s">
        <v>25</v>
      </c>
      <c r="D352" s="10">
        <f>D351*D348</f>
        <v>1.9228967157590416E-3</v>
      </c>
      <c r="E352" s="10">
        <f t="shared" ref="E352" si="129">E351*E348</f>
        <v>9.2845500789766985E-2</v>
      </c>
      <c r="F352" s="10">
        <f t="shared" ref="F352" si="130">F351*F348</f>
        <v>6.4911335619652261E-2</v>
      </c>
      <c r="G352" s="10">
        <f t="shared" ref="G352" si="131">G351*G348</f>
        <v>-0.11309000525440527</v>
      </c>
    </row>
    <row r="353" spans="2:7" x14ac:dyDescent="0.2">
      <c r="B353" s="30"/>
      <c r="C353" s="19" t="s">
        <v>26</v>
      </c>
      <c r="D353" s="20">
        <f>D351*D349</f>
        <v>0</v>
      </c>
      <c r="E353" s="20">
        <f t="shared" ref="E353:G353" si="132">E351*E349</f>
        <v>0</v>
      </c>
      <c r="F353" s="20">
        <f t="shared" si="132"/>
        <v>6.4911335619652261E-2</v>
      </c>
      <c r="G353" s="20">
        <f t="shared" si="132"/>
        <v>-0.11309000525440527</v>
      </c>
    </row>
    <row r="354" spans="2:7" x14ac:dyDescent="0.2">
      <c r="B354" s="15"/>
      <c r="C354" s="15"/>
      <c r="D354" s="21">
        <f>D351*D350</f>
        <v>0</v>
      </c>
      <c r="E354" s="21">
        <f t="shared" ref="E354:G354" si="133">E351*E350</f>
        <v>9.2845500789766985E-2</v>
      </c>
      <c r="F354" s="21">
        <f t="shared" si="133"/>
        <v>0</v>
      </c>
      <c r="G354" s="21">
        <f t="shared" si="133"/>
        <v>-0.11309000525440527</v>
      </c>
    </row>
    <row r="355" spans="2:7" x14ac:dyDescent="0.2">
      <c r="B355" s="25" t="s">
        <v>27</v>
      </c>
      <c r="C355" s="25" t="s">
        <v>28</v>
      </c>
      <c r="D355" s="24"/>
      <c r="E355" s="24"/>
      <c r="F355" s="24"/>
      <c r="G355" s="26">
        <f>AVERAGE(D352:G352)</f>
        <v>1.1647431967693259E-2</v>
      </c>
    </row>
    <row r="356" spans="2:7" x14ac:dyDescent="0.2">
      <c r="B356" s="24"/>
      <c r="C356" s="25" t="s">
        <v>29</v>
      </c>
      <c r="D356" s="24"/>
      <c r="E356" s="24"/>
      <c r="F356" s="24"/>
      <c r="G356" s="26">
        <f>AVERAGE(D353:G353)</f>
        <v>-1.2044667408688252E-2</v>
      </c>
    </row>
    <row r="357" spans="2:7" x14ac:dyDescent="0.2">
      <c r="B357" s="27"/>
      <c r="C357" s="28" t="s">
        <v>30</v>
      </c>
      <c r="D357" s="27"/>
      <c r="E357" s="27"/>
      <c r="F357" s="27"/>
      <c r="G357" s="29">
        <f>AVERAGE(D354:G354)</f>
        <v>-5.0611261161595707E-3</v>
      </c>
    </row>
    <row r="359" spans="2:7" x14ac:dyDescent="0.2">
      <c r="B359" s="31" t="s">
        <v>31</v>
      </c>
      <c r="C359" s="32"/>
      <c r="D359" s="32"/>
      <c r="E359" s="32"/>
      <c r="F359" s="32"/>
      <c r="G359" s="32"/>
    </row>
    <row r="360" spans="2:7" x14ac:dyDescent="0.2">
      <c r="B360" s="36" t="s">
        <v>33</v>
      </c>
      <c r="C360" s="33"/>
      <c r="D360" s="33"/>
      <c r="E360" s="36" t="s">
        <v>6</v>
      </c>
      <c r="F360" s="36" t="s">
        <v>7</v>
      </c>
      <c r="G360" s="36" t="s">
        <v>8</v>
      </c>
    </row>
    <row r="361" spans="2:7" x14ac:dyDescent="0.2">
      <c r="B361" s="37">
        <f>B338+1</f>
        <v>16</v>
      </c>
      <c r="C361" s="34"/>
      <c r="D361" s="34"/>
      <c r="E361" s="35">
        <f>E338-lr*G355</f>
        <v>-3.541987258309125</v>
      </c>
      <c r="F361" s="35">
        <f>F338-lr*G356</f>
        <v>2.1697822534321873</v>
      </c>
      <c r="G361" s="35">
        <f>G338-lr*G357</f>
        <v>2.3697695132866672</v>
      </c>
    </row>
    <row r="362" spans="2:7" x14ac:dyDescent="0.2">
      <c r="B362" s="4" t="s">
        <v>14</v>
      </c>
      <c r="C362" s="4" t="s">
        <v>15</v>
      </c>
      <c r="D362" s="5" cm="1">
        <f t="array" ref="D362:G362">TRANSPOSE($D$6:$D$9)</f>
        <v>0</v>
      </c>
      <c r="E362" s="5">
        <v>0</v>
      </c>
      <c r="F362" s="5">
        <v>0</v>
      </c>
      <c r="G362" s="5">
        <v>1</v>
      </c>
    </row>
    <row r="363" spans="2:7" x14ac:dyDescent="0.2">
      <c r="B363" s="11" t="s">
        <v>4</v>
      </c>
      <c r="C363" s="11" t="s">
        <v>9</v>
      </c>
      <c r="D363" s="12" cm="1">
        <f t="array" ref="D363:G364">TRANSPOSE($B$6:$C$9)</f>
        <v>0</v>
      </c>
      <c r="E363" s="12">
        <v>0</v>
      </c>
      <c r="F363" s="12">
        <v>1</v>
      </c>
      <c r="G363" s="12">
        <v>1</v>
      </c>
    </row>
    <row r="364" spans="2:7" x14ac:dyDescent="0.2">
      <c r="B364" s="15"/>
      <c r="C364" s="13" t="s">
        <v>10</v>
      </c>
      <c r="D364" s="14">
        <v>0</v>
      </c>
      <c r="E364" s="14">
        <v>1</v>
      </c>
      <c r="F364" s="14">
        <v>0</v>
      </c>
      <c r="G364" s="14">
        <v>1</v>
      </c>
    </row>
    <row r="365" spans="2:7" x14ac:dyDescent="0.2">
      <c r="B365" s="6" t="s">
        <v>13</v>
      </c>
      <c r="C365" s="6" t="s">
        <v>11</v>
      </c>
      <c r="D365" s="7" cm="1">
        <f t="array" ref="D365:G365">MMULT(F361:G361,_xlfn.ANCHORARRAY(D363))+E361</f>
        <v>-3.541987258309125</v>
      </c>
      <c r="E365" s="7">
        <v>-1.1722177450224578</v>
      </c>
      <c r="F365" s="7">
        <v>-1.3722050048769376</v>
      </c>
      <c r="G365" s="7">
        <v>0.99756450840972999</v>
      </c>
    </row>
    <row r="366" spans="2:7" x14ac:dyDescent="0.2">
      <c r="B366" s="5"/>
      <c r="C366" s="4" t="s">
        <v>12</v>
      </c>
      <c r="D366" s="8">
        <f>1/(1+EXP(-D365))</f>
        <v>2.8140887492729836E-2</v>
      </c>
      <c r="E366" s="8">
        <f>1/(1+EXP(-E365))</f>
        <v>0.23645435040492946</v>
      </c>
      <c r="F366" s="8">
        <f>1/(1+EXP(-F365))</f>
        <v>0.2022638283147038</v>
      </c>
      <c r="G366" s="8">
        <f>1/(1+EXP(-G365))</f>
        <v>0.73057946253850015</v>
      </c>
    </row>
    <row r="367" spans="2:7" x14ac:dyDescent="0.2">
      <c r="B367" s="9" t="s">
        <v>16</v>
      </c>
      <c r="C367" s="9" t="s">
        <v>19</v>
      </c>
      <c r="D367" s="10">
        <f>POWER(D366-D362,2)</f>
        <v>7.9190954887847851E-4</v>
      </c>
      <c r="E367" s="10">
        <f t="shared" ref="E367:G367" si="134">POWER(E366-E362,2)</f>
        <v>5.5910659825417167E-2</v>
      </c>
      <c r="F367" s="10">
        <f t="shared" si="134"/>
        <v>4.091065624451997E-2</v>
      </c>
      <c r="G367" s="10">
        <f t="shared" si="134"/>
        <v>7.258742600604344E-2</v>
      </c>
    </row>
    <row r="368" spans="2:7" x14ac:dyDescent="0.2">
      <c r="B368" s="22" t="s">
        <v>5</v>
      </c>
      <c r="C368" s="22" t="s">
        <v>17</v>
      </c>
      <c r="D368" s="23"/>
      <c r="E368" s="23"/>
      <c r="F368" s="23"/>
      <c r="G368" s="38">
        <f>SUM(D367:G367)</f>
        <v>0.17020065162485903</v>
      </c>
    </row>
    <row r="369" spans="2:7" x14ac:dyDescent="0.2">
      <c r="B369" s="2" t="s">
        <v>18</v>
      </c>
      <c r="C369" s="9" t="s">
        <v>20</v>
      </c>
      <c r="D369" s="10">
        <f>2*(D366-D362)</f>
        <v>5.6281774985459672E-2</v>
      </c>
      <c r="E369" s="10">
        <f t="shared" ref="E369:G369" si="135">2*(E366-E362)</f>
        <v>0.47290870080985892</v>
      </c>
      <c r="F369" s="10">
        <f t="shared" si="135"/>
        <v>0.40452765662940759</v>
      </c>
      <c r="G369" s="10">
        <f t="shared" si="135"/>
        <v>-0.53884107492299971</v>
      </c>
    </row>
    <row r="370" spans="2:7" x14ac:dyDescent="0.2">
      <c r="C370" s="4" t="s">
        <v>21</v>
      </c>
      <c r="D370" s="8">
        <f>D366*(1-D366)</f>
        <v>2.7348977943851358E-2</v>
      </c>
      <c r="E370" s="8">
        <f t="shared" ref="E370:G370" si="136">E366*(1-E366)</f>
        <v>0.18054369057951231</v>
      </c>
      <c r="F370" s="8">
        <f t="shared" si="136"/>
        <v>0.16135317207018382</v>
      </c>
      <c r="G370" s="8">
        <f t="shared" si="136"/>
        <v>0.1968331114554564</v>
      </c>
    </row>
    <row r="371" spans="2:7" x14ac:dyDescent="0.2">
      <c r="C371" s="9" t="s">
        <v>23</v>
      </c>
      <c r="D371" s="17">
        <v>1</v>
      </c>
      <c r="E371" s="17">
        <v>1</v>
      </c>
      <c r="F371" s="17">
        <v>1</v>
      </c>
      <c r="G371" s="17">
        <v>1</v>
      </c>
    </row>
    <row r="372" spans="2:7" x14ac:dyDescent="0.2">
      <c r="B372" s="16"/>
      <c r="C372" s="11" t="s">
        <v>24</v>
      </c>
      <c r="D372" s="12" cm="1">
        <f t="array" ref="D372:G373">_xlfn.ANCHORARRAY(D363)</f>
        <v>0</v>
      </c>
      <c r="E372" s="12">
        <v>0</v>
      </c>
      <c r="F372" s="12">
        <v>1</v>
      </c>
      <c r="G372" s="12">
        <v>1</v>
      </c>
    </row>
    <row r="373" spans="2:7" x14ac:dyDescent="0.2">
      <c r="B373" s="16"/>
      <c r="C373" s="13"/>
      <c r="D373" s="14">
        <v>0</v>
      </c>
      <c r="E373" s="14">
        <v>1</v>
      </c>
      <c r="F373" s="14">
        <v>0</v>
      </c>
      <c r="G373" s="14">
        <v>1</v>
      </c>
    </row>
    <row r="374" spans="2:7" x14ac:dyDescent="0.2">
      <c r="C374" s="9" t="s">
        <v>22</v>
      </c>
      <c r="D374" s="18">
        <f>D369*D370</f>
        <v>1.5392490227181417E-3</v>
      </c>
      <c r="E374" s="18">
        <f t="shared" ref="E374:G374" si="137">E369*E370</f>
        <v>8.5380682151374329E-2</v>
      </c>
      <c r="F374" s="18">
        <f t="shared" si="137"/>
        <v>6.5271820587273044E-2</v>
      </c>
      <c r="G374" s="18">
        <f t="shared" si="137"/>
        <v>-0.10606176535709673</v>
      </c>
    </row>
    <row r="375" spans="2:7" x14ac:dyDescent="0.2">
      <c r="C375" s="9" t="s">
        <v>25</v>
      </c>
      <c r="D375" s="10">
        <f>D374*D371</f>
        <v>1.5392490227181417E-3</v>
      </c>
      <c r="E375" s="10">
        <f t="shared" ref="E375" si="138">E374*E371</f>
        <v>8.5380682151374329E-2</v>
      </c>
      <c r="F375" s="10">
        <f t="shared" ref="F375" si="139">F374*F371</f>
        <v>6.5271820587273044E-2</v>
      </c>
      <c r="G375" s="10">
        <f t="shared" ref="G375" si="140">G374*G371</f>
        <v>-0.10606176535709673</v>
      </c>
    </row>
    <row r="376" spans="2:7" x14ac:dyDescent="0.2">
      <c r="B376" s="30"/>
      <c r="C376" s="19" t="s">
        <v>26</v>
      </c>
      <c r="D376" s="20">
        <f>D374*D372</f>
        <v>0</v>
      </c>
      <c r="E376" s="20">
        <f t="shared" ref="E376:G376" si="141">E374*E372</f>
        <v>0</v>
      </c>
      <c r="F376" s="20">
        <f t="shared" si="141"/>
        <v>6.5271820587273044E-2</v>
      </c>
      <c r="G376" s="20">
        <f t="shared" si="141"/>
        <v>-0.10606176535709673</v>
      </c>
    </row>
    <row r="377" spans="2:7" x14ac:dyDescent="0.2">
      <c r="B377" s="15"/>
      <c r="C377" s="15"/>
      <c r="D377" s="21">
        <f>D374*D373</f>
        <v>0</v>
      </c>
      <c r="E377" s="21">
        <f t="shared" ref="E377:G377" si="142">E374*E373</f>
        <v>8.5380682151374329E-2</v>
      </c>
      <c r="F377" s="21">
        <f t="shared" si="142"/>
        <v>0</v>
      </c>
      <c r="G377" s="21">
        <f t="shared" si="142"/>
        <v>-0.10606176535709673</v>
      </c>
    </row>
    <row r="378" spans="2:7" x14ac:dyDescent="0.2">
      <c r="B378" s="25" t="s">
        <v>27</v>
      </c>
      <c r="C378" s="25" t="s">
        <v>28</v>
      </c>
      <c r="D378" s="24"/>
      <c r="E378" s="24"/>
      <c r="F378" s="24"/>
      <c r="G378" s="26">
        <f>AVERAGE(D375:G375)</f>
        <v>1.1532496601067196E-2</v>
      </c>
    </row>
    <row r="379" spans="2:7" x14ac:dyDescent="0.2">
      <c r="B379" s="24"/>
      <c r="C379" s="25" t="s">
        <v>29</v>
      </c>
      <c r="D379" s="24"/>
      <c r="E379" s="24"/>
      <c r="F379" s="24"/>
      <c r="G379" s="26">
        <f>AVERAGE(D376:G376)</f>
        <v>-1.0197486192455921E-2</v>
      </c>
    </row>
    <row r="380" spans="2:7" x14ac:dyDescent="0.2">
      <c r="B380" s="27"/>
      <c r="C380" s="28" t="s">
        <v>30</v>
      </c>
      <c r="D380" s="27"/>
      <c r="E380" s="27"/>
      <c r="F380" s="27"/>
      <c r="G380" s="29">
        <f>AVERAGE(D377:G377)</f>
        <v>-5.1702708014306001E-3</v>
      </c>
    </row>
    <row r="382" spans="2:7" x14ac:dyDescent="0.2">
      <c r="B382" s="31" t="s">
        <v>31</v>
      </c>
      <c r="C382" s="32"/>
      <c r="D382" s="32"/>
      <c r="E382" s="32"/>
      <c r="F382" s="32"/>
      <c r="G382" s="32"/>
    </row>
    <row r="383" spans="2:7" x14ac:dyDescent="0.2">
      <c r="B383" s="36" t="s">
        <v>33</v>
      </c>
      <c r="C383" s="33"/>
      <c r="D383" s="33"/>
      <c r="E383" s="36" t="s">
        <v>6</v>
      </c>
      <c r="F383" s="36" t="s">
        <v>7</v>
      </c>
      <c r="G383" s="36" t="s">
        <v>8</v>
      </c>
    </row>
    <row r="384" spans="2:7" x14ac:dyDescent="0.2">
      <c r="B384" s="37">
        <f>B361+1</f>
        <v>17</v>
      </c>
      <c r="C384" s="34"/>
      <c r="D384" s="34"/>
      <c r="E384" s="35">
        <f>E361-lr*G378</f>
        <v>-3.6573122243197971</v>
      </c>
      <c r="F384" s="35">
        <f>F361-lr*G379</f>
        <v>2.2717571153567464</v>
      </c>
      <c r="G384" s="35">
        <f>G361-lr*G380</f>
        <v>2.4214722213009732</v>
      </c>
    </row>
    <row r="385" spans="2:7" x14ac:dyDescent="0.2">
      <c r="B385" s="4" t="s">
        <v>14</v>
      </c>
      <c r="C385" s="4" t="s">
        <v>15</v>
      </c>
      <c r="D385" s="5" cm="1">
        <f t="array" ref="D385:G385">TRANSPOSE($D$6:$D$9)</f>
        <v>0</v>
      </c>
      <c r="E385" s="5">
        <v>0</v>
      </c>
      <c r="F385" s="5">
        <v>0</v>
      </c>
      <c r="G385" s="5">
        <v>1</v>
      </c>
    </row>
    <row r="386" spans="2:7" x14ac:dyDescent="0.2">
      <c r="B386" s="11" t="s">
        <v>4</v>
      </c>
      <c r="C386" s="11" t="s">
        <v>9</v>
      </c>
      <c r="D386" s="12" cm="1">
        <f t="array" ref="D386:G387">TRANSPOSE($B$6:$C$9)</f>
        <v>0</v>
      </c>
      <c r="E386" s="12">
        <v>0</v>
      </c>
      <c r="F386" s="12">
        <v>1</v>
      </c>
      <c r="G386" s="12">
        <v>1</v>
      </c>
    </row>
    <row r="387" spans="2:7" x14ac:dyDescent="0.2">
      <c r="B387" s="15"/>
      <c r="C387" s="13" t="s">
        <v>10</v>
      </c>
      <c r="D387" s="14">
        <v>0</v>
      </c>
      <c r="E387" s="14">
        <v>1</v>
      </c>
      <c r="F387" s="14">
        <v>0</v>
      </c>
      <c r="G387" s="14">
        <v>1</v>
      </c>
    </row>
    <row r="388" spans="2:7" x14ac:dyDescent="0.2">
      <c r="B388" s="6" t="s">
        <v>13</v>
      </c>
      <c r="C388" s="6" t="s">
        <v>11</v>
      </c>
      <c r="D388" s="7" cm="1">
        <f t="array" ref="D388:G388">MMULT(F384:G384,_xlfn.ANCHORARRAY(D386))+E384</f>
        <v>-3.6573122243197971</v>
      </c>
      <c r="E388" s="7">
        <v>-1.2358400030188239</v>
      </c>
      <c r="F388" s="7">
        <v>-1.3855551089630507</v>
      </c>
      <c r="G388" s="7">
        <v>1.0359171123379221</v>
      </c>
    </row>
    <row r="389" spans="2:7" x14ac:dyDescent="0.2">
      <c r="B389" s="5"/>
      <c r="C389" s="4" t="s">
        <v>12</v>
      </c>
      <c r="D389" s="8">
        <f>1/(1+EXP(-D388))</f>
        <v>2.515278269102161E-2</v>
      </c>
      <c r="E389" s="8">
        <f>1/(1+EXP(-E388))</f>
        <v>0.22516092340101992</v>
      </c>
      <c r="F389" s="8">
        <f>1/(1+EXP(-F388))</f>
        <v>0.20011830657722432</v>
      </c>
      <c r="G389" s="8">
        <f>1/(1+EXP(-G388))</f>
        <v>0.73806144224532999</v>
      </c>
    </row>
    <row r="390" spans="2:7" x14ac:dyDescent="0.2">
      <c r="B390" s="9" t="s">
        <v>16</v>
      </c>
      <c r="C390" s="9" t="s">
        <v>19</v>
      </c>
      <c r="D390" s="10">
        <f>POWER(D389-D385,2)</f>
        <v>6.326624771017563E-4</v>
      </c>
      <c r="E390" s="10">
        <f t="shared" ref="E390:G390" si="143">POWER(E389-E385,2)</f>
        <v>5.0697441426799959E-2</v>
      </c>
      <c r="F390" s="10">
        <f t="shared" si="143"/>
        <v>4.0047336627335943E-2</v>
      </c>
      <c r="G390" s="10">
        <f t="shared" si="143"/>
        <v>6.8611808038596594E-2</v>
      </c>
    </row>
    <row r="391" spans="2:7" x14ac:dyDescent="0.2">
      <c r="B391" s="22" t="s">
        <v>5</v>
      </c>
      <c r="C391" s="22" t="s">
        <v>17</v>
      </c>
      <c r="D391" s="23"/>
      <c r="E391" s="23"/>
      <c r="F391" s="23"/>
      <c r="G391" s="38">
        <f>SUM(D390:G390)</f>
        <v>0.15998924856983426</v>
      </c>
    </row>
    <row r="392" spans="2:7" x14ac:dyDescent="0.2">
      <c r="B392" s="2" t="s">
        <v>18</v>
      </c>
      <c r="C392" s="9" t="s">
        <v>20</v>
      </c>
      <c r="D392" s="10">
        <f>2*(D389-D385)</f>
        <v>5.030556538204322E-2</v>
      </c>
      <c r="E392" s="10">
        <f t="shared" ref="E392:G392" si="144">2*(E389-E385)</f>
        <v>0.45032184680203985</v>
      </c>
      <c r="F392" s="10">
        <f t="shared" si="144"/>
        <v>0.40023661315444864</v>
      </c>
      <c r="G392" s="10">
        <f t="shared" si="144"/>
        <v>-0.52387711550934002</v>
      </c>
    </row>
    <row r="393" spans="2:7" x14ac:dyDescent="0.2">
      <c r="C393" s="4" t="s">
        <v>21</v>
      </c>
      <c r="D393" s="8">
        <f>D389*(1-D389)</f>
        <v>2.4520120213919853E-2</v>
      </c>
      <c r="E393" s="8">
        <f t="shared" ref="E393:G393" si="145">E389*(1-E389)</f>
        <v>0.17446348197421996</v>
      </c>
      <c r="F393" s="8">
        <f t="shared" si="145"/>
        <v>0.16007096994988837</v>
      </c>
      <c r="G393" s="8">
        <f t="shared" si="145"/>
        <v>0.19332674971607341</v>
      </c>
    </row>
    <row r="394" spans="2:7" x14ac:dyDescent="0.2">
      <c r="C394" s="9" t="s">
        <v>23</v>
      </c>
      <c r="D394" s="17">
        <v>1</v>
      </c>
      <c r="E394" s="17">
        <v>1</v>
      </c>
      <c r="F394" s="17">
        <v>1</v>
      </c>
      <c r="G394" s="17">
        <v>1</v>
      </c>
    </row>
    <row r="395" spans="2:7" x14ac:dyDescent="0.2">
      <c r="B395" s="16"/>
      <c r="C395" s="11" t="s">
        <v>24</v>
      </c>
      <c r="D395" s="12" cm="1">
        <f t="array" ref="D395:G396">_xlfn.ANCHORARRAY(D386)</f>
        <v>0</v>
      </c>
      <c r="E395" s="12">
        <v>0</v>
      </c>
      <c r="F395" s="12">
        <v>1</v>
      </c>
      <c r="G395" s="12">
        <v>1</v>
      </c>
    </row>
    <row r="396" spans="2:7" x14ac:dyDescent="0.2">
      <c r="B396" s="16"/>
      <c r="C396" s="13"/>
      <c r="D396" s="14">
        <v>0</v>
      </c>
      <c r="E396" s="14">
        <v>1</v>
      </c>
      <c r="F396" s="14">
        <v>0</v>
      </c>
      <c r="G396" s="14">
        <v>1</v>
      </c>
    </row>
    <row r="397" spans="2:7" x14ac:dyDescent="0.2">
      <c r="C397" s="9" t="s">
        <v>22</v>
      </c>
      <c r="D397" s="18">
        <f>D392*D393</f>
        <v>1.2334985105969048E-3</v>
      </c>
      <c r="E397" s="18">
        <f t="shared" ref="E397:G397" si="146">E392*E393</f>
        <v>7.8564717402145115E-2</v>
      </c>
      <c r="F397" s="18">
        <f t="shared" si="146"/>
        <v>6.4066262877090843E-2</v>
      </c>
      <c r="G397" s="18">
        <f t="shared" si="146"/>
        <v>-0.10127945999205266</v>
      </c>
    </row>
    <row r="398" spans="2:7" x14ac:dyDescent="0.2">
      <c r="C398" s="9" t="s">
        <v>25</v>
      </c>
      <c r="D398" s="10">
        <f>D397*D394</f>
        <v>1.2334985105969048E-3</v>
      </c>
      <c r="E398" s="10">
        <f t="shared" ref="E398" si="147">E397*E394</f>
        <v>7.8564717402145115E-2</v>
      </c>
      <c r="F398" s="10">
        <f t="shared" ref="F398" si="148">F397*F394</f>
        <v>6.4066262877090843E-2</v>
      </c>
      <c r="G398" s="10">
        <f t="shared" ref="G398" si="149">G397*G394</f>
        <v>-0.10127945999205266</v>
      </c>
    </row>
    <row r="399" spans="2:7" x14ac:dyDescent="0.2">
      <c r="B399" s="30"/>
      <c r="C399" s="19" t="s">
        <v>26</v>
      </c>
      <c r="D399" s="20">
        <f>D397*D395</f>
        <v>0</v>
      </c>
      <c r="E399" s="20">
        <f t="shared" ref="E399:G399" si="150">E397*E395</f>
        <v>0</v>
      </c>
      <c r="F399" s="20">
        <f t="shared" si="150"/>
        <v>6.4066262877090843E-2</v>
      </c>
      <c r="G399" s="20">
        <f t="shared" si="150"/>
        <v>-0.10127945999205266</v>
      </c>
    </row>
    <row r="400" spans="2:7" x14ac:dyDescent="0.2">
      <c r="B400" s="15"/>
      <c r="C400" s="15"/>
      <c r="D400" s="21">
        <f>D397*D396</f>
        <v>0</v>
      </c>
      <c r="E400" s="21">
        <f t="shared" ref="E400:G400" si="151">E397*E396</f>
        <v>7.8564717402145115E-2</v>
      </c>
      <c r="F400" s="21">
        <f t="shared" si="151"/>
        <v>0</v>
      </c>
      <c r="G400" s="21">
        <f t="shared" si="151"/>
        <v>-0.10127945999205266</v>
      </c>
    </row>
    <row r="401" spans="2:7" x14ac:dyDescent="0.2">
      <c r="B401" s="25" t="s">
        <v>27</v>
      </c>
      <c r="C401" s="25" t="s">
        <v>28</v>
      </c>
      <c r="D401" s="24"/>
      <c r="E401" s="24"/>
      <c r="F401" s="24"/>
      <c r="G401" s="26">
        <f>AVERAGE(D398:G398)</f>
        <v>1.0646254699445055E-2</v>
      </c>
    </row>
    <row r="402" spans="2:7" x14ac:dyDescent="0.2">
      <c r="B402" s="24"/>
      <c r="C402" s="25" t="s">
        <v>29</v>
      </c>
      <c r="D402" s="24"/>
      <c r="E402" s="24"/>
      <c r="F402" s="24"/>
      <c r="G402" s="26">
        <f>AVERAGE(D399:G399)</f>
        <v>-9.3032992787404553E-3</v>
      </c>
    </row>
    <row r="403" spans="2:7" x14ac:dyDescent="0.2">
      <c r="B403" s="27"/>
      <c r="C403" s="28" t="s">
        <v>30</v>
      </c>
      <c r="D403" s="27"/>
      <c r="E403" s="27"/>
      <c r="F403" s="27"/>
      <c r="G403" s="29">
        <f>AVERAGE(D400:G400)</f>
        <v>-5.6786856474768874E-3</v>
      </c>
    </row>
    <row r="405" spans="2:7" x14ac:dyDescent="0.2">
      <c r="B405" s="31" t="s">
        <v>31</v>
      </c>
      <c r="C405" s="32"/>
      <c r="D405" s="32"/>
      <c r="E405" s="32"/>
      <c r="F405" s="32"/>
      <c r="G405" s="32"/>
    </row>
    <row r="406" spans="2:7" x14ac:dyDescent="0.2">
      <c r="B406" s="36" t="s">
        <v>33</v>
      </c>
      <c r="C406" s="33"/>
      <c r="D406" s="33"/>
      <c r="E406" s="36" t="s">
        <v>6</v>
      </c>
      <c r="F406" s="36" t="s">
        <v>7</v>
      </c>
      <c r="G406" s="36" t="s">
        <v>8</v>
      </c>
    </row>
    <row r="407" spans="2:7" x14ac:dyDescent="0.2">
      <c r="B407" s="37">
        <f>B384+1</f>
        <v>18</v>
      </c>
      <c r="C407" s="34"/>
      <c r="D407" s="34"/>
      <c r="E407" s="35">
        <f>E384-lr*G401</f>
        <v>-3.7637747713142478</v>
      </c>
      <c r="F407" s="35">
        <f>F384-lr*G402</f>
        <v>2.3647901081441511</v>
      </c>
      <c r="G407" s="35">
        <f>G384-lr*G403</f>
        <v>2.4782590777757418</v>
      </c>
    </row>
    <row r="408" spans="2:7" x14ac:dyDescent="0.2">
      <c r="B408" s="4" t="s">
        <v>14</v>
      </c>
      <c r="C408" s="4" t="s">
        <v>15</v>
      </c>
      <c r="D408" s="5" cm="1">
        <f t="array" ref="D408:G408">TRANSPOSE($D$6:$D$9)</f>
        <v>0</v>
      </c>
      <c r="E408" s="5">
        <v>0</v>
      </c>
      <c r="F408" s="5">
        <v>0</v>
      </c>
      <c r="G408" s="5">
        <v>1</v>
      </c>
    </row>
    <row r="409" spans="2:7" x14ac:dyDescent="0.2">
      <c r="B409" s="11" t="s">
        <v>4</v>
      </c>
      <c r="C409" s="11" t="s">
        <v>9</v>
      </c>
      <c r="D409" s="12" cm="1">
        <f t="array" ref="D409:G410">TRANSPOSE($B$6:$C$9)</f>
        <v>0</v>
      </c>
      <c r="E409" s="12">
        <v>0</v>
      </c>
      <c r="F409" s="12">
        <v>1</v>
      </c>
      <c r="G409" s="12">
        <v>1</v>
      </c>
    </row>
    <row r="410" spans="2:7" x14ac:dyDescent="0.2">
      <c r="B410" s="15"/>
      <c r="C410" s="13" t="s">
        <v>10</v>
      </c>
      <c r="D410" s="14">
        <v>0</v>
      </c>
      <c r="E410" s="14">
        <v>1</v>
      </c>
      <c r="F410" s="14">
        <v>0</v>
      </c>
      <c r="G410" s="14">
        <v>1</v>
      </c>
    </row>
    <row r="411" spans="2:7" x14ac:dyDescent="0.2">
      <c r="B411" s="6" t="s">
        <v>13</v>
      </c>
      <c r="C411" s="6" t="s">
        <v>11</v>
      </c>
      <c r="D411" s="7" cm="1">
        <f t="array" ref="D411:G411">MMULT(F407:G407,_xlfn.ANCHORARRAY(D409))+E407</f>
        <v>-3.7637747713142478</v>
      </c>
      <c r="E411" s="7">
        <v>-1.2855156935385059</v>
      </c>
      <c r="F411" s="7">
        <v>-1.3989846631700966</v>
      </c>
      <c r="G411" s="7">
        <v>1.0792744146056457</v>
      </c>
    </row>
    <row r="412" spans="2:7" x14ac:dyDescent="0.2">
      <c r="B412" s="5"/>
      <c r="C412" s="4" t="s">
        <v>12</v>
      </c>
      <c r="D412" s="8">
        <f>1/(1+EXP(-D411))</f>
        <v>2.2670157925859975E-2</v>
      </c>
      <c r="E412" s="8">
        <f>1/(1+EXP(-E411))</f>
        <v>0.21661279331376312</v>
      </c>
      <c r="F412" s="8">
        <f>1/(1+EXP(-F411))</f>
        <v>0.1979772794976794</v>
      </c>
      <c r="G412" s="8">
        <f>1/(1+EXP(-G411))</f>
        <v>0.74635664848133787</v>
      </c>
    </row>
    <row r="413" spans="2:7" x14ac:dyDescent="0.2">
      <c r="B413" s="9" t="s">
        <v>16</v>
      </c>
      <c r="C413" s="9" t="s">
        <v>19</v>
      </c>
      <c r="D413" s="10">
        <f>POWER(D412-D408,2)</f>
        <v>5.1393606038343186E-4</v>
      </c>
      <c r="E413" s="10">
        <f t="shared" ref="E413:G413" si="152">POWER(E412-E408,2)</f>
        <v>4.6921102227191064E-2</v>
      </c>
      <c r="F413" s="10">
        <f t="shared" si="152"/>
        <v>3.9195003197302271E-2</v>
      </c>
      <c r="G413" s="10">
        <f t="shared" si="152"/>
        <v>6.4334949769619607E-2</v>
      </c>
    </row>
    <row r="414" spans="2:7" x14ac:dyDescent="0.2">
      <c r="B414" s="22" t="s">
        <v>5</v>
      </c>
      <c r="C414" s="22" t="s">
        <v>17</v>
      </c>
      <c r="D414" s="23"/>
      <c r="E414" s="23"/>
      <c r="F414" s="23"/>
      <c r="G414" s="38">
        <f>SUM(D413:G413)</f>
        <v>0.15096499125449636</v>
      </c>
    </row>
    <row r="415" spans="2:7" x14ac:dyDescent="0.2">
      <c r="B415" s="2" t="s">
        <v>18</v>
      </c>
      <c r="C415" s="9" t="s">
        <v>20</v>
      </c>
      <c r="D415" s="10">
        <f>2*(D412-D408)</f>
        <v>4.5340315851719951E-2</v>
      </c>
      <c r="E415" s="10">
        <f t="shared" ref="E415:G415" si="153">2*(E412-E408)</f>
        <v>0.43322558662752625</v>
      </c>
      <c r="F415" s="10">
        <f t="shared" si="153"/>
        <v>0.39595455899535881</v>
      </c>
      <c r="G415" s="10">
        <f t="shared" si="153"/>
        <v>-0.50728670303732426</v>
      </c>
    </row>
    <row r="416" spans="2:7" x14ac:dyDescent="0.2">
      <c r="C416" s="4" t="s">
        <v>21</v>
      </c>
      <c r="D416" s="8">
        <f>D412*(1-D412)</f>
        <v>2.2156221865476541E-2</v>
      </c>
      <c r="E416" s="8">
        <f t="shared" ref="E416:G416" si="154">E412*(1-E412)</f>
        <v>0.16969169108657206</v>
      </c>
      <c r="F416" s="8">
        <f t="shared" si="154"/>
        <v>0.15878227630037714</v>
      </c>
      <c r="G416" s="8">
        <f t="shared" si="154"/>
        <v>0.18930840174904254</v>
      </c>
    </row>
    <row r="417" spans="2:7" x14ac:dyDescent="0.2">
      <c r="C417" s="9" t="s">
        <v>23</v>
      </c>
      <c r="D417" s="17">
        <v>1</v>
      </c>
      <c r="E417" s="17">
        <v>1</v>
      </c>
      <c r="F417" s="17">
        <v>1</v>
      </c>
      <c r="G417" s="17">
        <v>1</v>
      </c>
    </row>
    <row r="418" spans="2:7" x14ac:dyDescent="0.2">
      <c r="B418" s="16"/>
      <c r="C418" s="11" t="s">
        <v>24</v>
      </c>
      <c r="D418" s="12" cm="1">
        <f t="array" ref="D418:G419">_xlfn.ANCHORARRAY(D409)</f>
        <v>0</v>
      </c>
      <c r="E418" s="12">
        <v>0</v>
      </c>
      <c r="F418" s="12">
        <v>1</v>
      </c>
      <c r="G418" s="12">
        <v>1</v>
      </c>
    </row>
    <row r="419" spans="2:7" x14ac:dyDescent="0.2">
      <c r="B419" s="16"/>
      <c r="C419" s="13"/>
      <c r="D419" s="14">
        <v>0</v>
      </c>
      <c r="E419" s="14">
        <v>1</v>
      </c>
      <c r="F419" s="14">
        <v>0</v>
      </c>
      <c r="G419" s="14">
        <v>1</v>
      </c>
    </row>
    <row r="420" spans="2:7" x14ac:dyDescent="0.2">
      <c r="C420" s="9" t="s">
        <v>22</v>
      </c>
      <c r="D420" s="18">
        <f>D415*D416</f>
        <v>1.0045700974614903E-3</v>
      </c>
      <c r="E420" s="18">
        <f t="shared" ref="E420:G420" si="155">E415*E416</f>
        <v>7.3514782416797153E-2</v>
      </c>
      <c r="F420" s="18">
        <f t="shared" si="155"/>
        <v>6.2870566188795038E-2</v>
      </c>
      <c r="G420" s="18">
        <f t="shared" si="155"/>
        <v>-9.6033634980537019E-2</v>
      </c>
    </row>
    <row r="421" spans="2:7" x14ac:dyDescent="0.2">
      <c r="C421" s="9" t="s">
        <v>25</v>
      </c>
      <c r="D421" s="10">
        <f>D420*D417</f>
        <v>1.0045700974614903E-3</v>
      </c>
      <c r="E421" s="10">
        <f t="shared" ref="E421" si="156">E420*E417</f>
        <v>7.3514782416797153E-2</v>
      </c>
      <c r="F421" s="10">
        <f t="shared" ref="F421" si="157">F420*F417</f>
        <v>6.2870566188795038E-2</v>
      </c>
      <c r="G421" s="10">
        <f t="shared" ref="G421" si="158">G420*G417</f>
        <v>-9.6033634980537019E-2</v>
      </c>
    </row>
    <row r="422" spans="2:7" x14ac:dyDescent="0.2">
      <c r="B422" s="30"/>
      <c r="C422" s="19" t="s">
        <v>26</v>
      </c>
      <c r="D422" s="20">
        <f>D420*D418</f>
        <v>0</v>
      </c>
      <c r="E422" s="20">
        <f t="shared" ref="E422:G422" si="159">E420*E418</f>
        <v>0</v>
      </c>
      <c r="F422" s="20">
        <f t="shared" si="159"/>
        <v>6.2870566188795038E-2</v>
      </c>
      <c r="G422" s="20">
        <f t="shared" si="159"/>
        <v>-9.6033634980537019E-2</v>
      </c>
    </row>
    <row r="423" spans="2:7" x14ac:dyDescent="0.2">
      <c r="B423" s="15"/>
      <c r="C423" s="15"/>
      <c r="D423" s="21">
        <f>D420*D419</f>
        <v>0</v>
      </c>
      <c r="E423" s="21">
        <f t="shared" ref="E423:G423" si="160">E420*E419</f>
        <v>7.3514782416797153E-2</v>
      </c>
      <c r="F423" s="21">
        <f t="shared" si="160"/>
        <v>0</v>
      </c>
      <c r="G423" s="21">
        <f t="shared" si="160"/>
        <v>-9.6033634980537019E-2</v>
      </c>
    </row>
    <row r="424" spans="2:7" x14ac:dyDescent="0.2">
      <c r="B424" s="25" t="s">
        <v>27</v>
      </c>
      <c r="C424" s="25" t="s">
        <v>28</v>
      </c>
      <c r="D424" s="24"/>
      <c r="E424" s="24"/>
      <c r="F424" s="24"/>
      <c r="G424" s="26">
        <f>AVERAGE(D421:G421)</f>
        <v>1.0339070930629163E-2</v>
      </c>
    </row>
    <row r="425" spans="2:7" x14ac:dyDescent="0.2">
      <c r="B425" s="24"/>
      <c r="C425" s="25" t="s">
        <v>29</v>
      </c>
      <c r="D425" s="24"/>
      <c r="E425" s="24"/>
      <c r="F425" s="24"/>
      <c r="G425" s="26">
        <f>AVERAGE(D422:G422)</f>
        <v>-8.2907671979354954E-3</v>
      </c>
    </row>
    <row r="426" spans="2:7" x14ac:dyDescent="0.2">
      <c r="B426" s="27"/>
      <c r="C426" s="28" t="s">
        <v>30</v>
      </c>
      <c r="D426" s="27"/>
      <c r="E426" s="27"/>
      <c r="F426" s="27"/>
      <c r="G426" s="29">
        <f>AVERAGE(D423:G423)</f>
        <v>-5.6297131409349666E-3</v>
      </c>
    </row>
    <row r="428" spans="2:7" x14ac:dyDescent="0.2">
      <c r="B428" s="31" t="s">
        <v>31</v>
      </c>
      <c r="C428" s="32"/>
      <c r="D428" s="32"/>
      <c r="E428" s="32"/>
      <c r="F428" s="32"/>
      <c r="G428" s="32"/>
    </row>
    <row r="429" spans="2:7" x14ac:dyDescent="0.2">
      <c r="B429" s="36" t="s">
        <v>33</v>
      </c>
      <c r="C429" s="33"/>
      <c r="D429" s="33"/>
      <c r="E429" s="36" t="s">
        <v>6</v>
      </c>
      <c r="F429" s="36" t="s">
        <v>7</v>
      </c>
      <c r="G429" s="36" t="s">
        <v>8</v>
      </c>
    </row>
    <row r="430" spans="2:7" x14ac:dyDescent="0.2">
      <c r="B430" s="37">
        <f>B407+1</f>
        <v>19</v>
      </c>
      <c r="C430" s="34"/>
      <c r="D430" s="34"/>
      <c r="E430" s="35">
        <f>E407-lr*G424</f>
        <v>-3.8671654806205393</v>
      </c>
      <c r="F430" s="35">
        <f>F407-lr*G425</f>
        <v>2.447697780123506</v>
      </c>
      <c r="G430" s="35">
        <f>G407-lr*G426</f>
        <v>2.5345562091850917</v>
      </c>
    </row>
    <row r="431" spans="2:7" x14ac:dyDescent="0.2">
      <c r="B431" s="4" t="s">
        <v>14</v>
      </c>
      <c r="C431" s="4" t="s">
        <v>15</v>
      </c>
      <c r="D431" s="5" cm="1">
        <f t="array" ref="D431:G431">TRANSPOSE($D$6:$D$9)</f>
        <v>0</v>
      </c>
      <c r="E431" s="5">
        <v>0</v>
      </c>
      <c r="F431" s="5">
        <v>0</v>
      </c>
      <c r="G431" s="5">
        <v>1</v>
      </c>
    </row>
    <row r="432" spans="2:7" x14ac:dyDescent="0.2">
      <c r="B432" s="11" t="s">
        <v>4</v>
      </c>
      <c r="C432" s="11" t="s">
        <v>9</v>
      </c>
      <c r="D432" s="12" cm="1">
        <f t="array" ref="D432:G433">TRANSPOSE($B$6:$C$9)</f>
        <v>0</v>
      </c>
      <c r="E432" s="12">
        <v>0</v>
      </c>
      <c r="F432" s="12">
        <v>1</v>
      </c>
      <c r="G432" s="12">
        <v>1</v>
      </c>
    </row>
    <row r="433" spans="2:7" x14ac:dyDescent="0.2">
      <c r="B433" s="15"/>
      <c r="C433" s="13" t="s">
        <v>10</v>
      </c>
      <c r="D433" s="14">
        <v>0</v>
      </c>
      <c r="E433" s="14">
        <v>1</v>
      </c>
      <c r="F433" s="14">
        <v>0</v>
      </c>
      <c r="G433" s="14">
        <v>1</v>
      </c>
    </row>
    <row r="434" spans="2:7" x14ac:dyDescent="0.2">
      <c r="B434" s="6" t="s">
        <v>13</v>
      </c>
      <c r="C434" s="6" t="s">
        <v>11</v>
      </c>
      <c r="D434" s="7" cm="1">
        <f t="array" ref="D434:G434">MMULT(F430:G430,_xlfn.ANCHORARRAY(D432))+E430</f>
        <v>-3.8671654806205393</v>
      </c>
      <c r="E434" s="7">
        <v>-1.3326092714354476</v>
      </c>
      <c r="F434" s="7">
        <v>-1.4194677004970333</v>
      </c>
      <c r="G434" s="7">
        <v>1.1150885086880584</v>
      </c>
    </row>
    <row r="435" spans="2:7" x14ac:dyDescent="0.2">
      <c r="B435" s="5"/>
      <c r="C435" s="4" t="s">
        <v>12</v>
      </c>
      <c r="D435" s="8">
        <f>1/(1+EXP(-D434))</f>
        <v>2.0488996591355592E-2</v>
      </c>
      <c r="E435" s="8">
        <f>1/(1+EXP(-E434))</f>
        <v>0.20872808865629722</v>
      </c>
      <c r="F435" s="8">
        <f>1/(1+EXP(-F434))</f>
        <v>0.19474504492349742</v>
      </c>
      <c r="G435" s="8">
        <f>1/(1+EXP(-G434))</f>
        <v>0.75307654918059108</v>
      </c>
    </row>
    <row r="436" spans="2:7" x14ac:dyDescent="0.2">
      <c r="B436" s="9" t="s">
        <v>16</v>
      </c>
      <c r="C436" s="9" t="s">
        <v>19</v>
      </c>
      <c r="D436" s="10">
        <f>POWER(D435-D431,2)</f>
        <v>4.1979898132058104E-4</v>
      </c>
      <c r="E436" s="10">
        <f t="shared" ref="E436:G436" si="161">POWER(E435-E431,2)</f>
        <v>4.356741499411107E-2</v>
      </c>
      <c r="F436" s="10">
        <f t="shared" si="161"/>
        <v>3.7925632522255032E-2</v>
      </c>
      <c r="G436" s="10">
        <f t="shared" si="161"/>
        <v>6.0971190564565056E-2</v>
      </c>
    </row>
    <row r="437" spans="2:7" x14ac:dyDescent="0.2">
      <c r="B437" s="22" t="s">
        <v>5</v>
      </c>
      <c r="C437" s="22" t="s">
        <v>17</v>
      </c>
      <c r="D437" s="23"/>
      <c r="E437" s="23"/>
      <c r="F437" s="23"/>
      <c r="G437" s="38">
        <f>SUM(D436:G436)</f>
        <v>0.14288403706225172</v>
      </c>
    </row>
    <row r="438" spans="2:7" x14ac:dyDescent="0.2">
      <c r="B438" s="2" t="s">
        <v>18</v>
      </c>
      <c r="C438" s="9" t="s">
        <v>20</v>
      </c>
      <c r="D438" s="10">
        <f>2*(D435-D431)</f>
        <v>4.0977993182711184E-2</v>
      </c>
      <c r="E438" s="10">
        <f t="shared" ref="E438:G438" si="162">2*(E435-E431)</f>
        <v>0.41745617731259443</v>
      </c>
      <c r="F438" s="10">
        <f t="shared" si="162"/>
        <v>0.38949008984699485</v>
      </c>
      <c r="G438" s="10">
        <f t="shared" si="162"/>
        <v>-0.49384690163881784</v>
      </c>
    </row>
    <row r="439" spans="2:7" x14ac:dyDescent="0.2">
      <c r="C439" s="4" t="s">
        <v>21</v>
      </c>
      <c r="D439" s="8">
        <f>D435*(1-D435)</f>
        <v>2.0069197610035009E-2</v>
      </c>
      <c r="E439" s="8">
        <f t="shared" ref="E439:G439" si="163">E435*(1-E435)</f>
        <v>0.16516067366218615</v>
      </c>
      <c r="F439" s="8">
        <f t="shared" si="163"/>
        <v>0.15681941240124239</v>
      </c>
      <c r="G439" s="8">
        <f t="shared" si="163"/>
        <v>0.18595226025484388</v>
      </c>
    </row>
    <row r="440" spans="2:7" x14ac:dyDescent="0.2">
      <c r="C440" s="9" t="s">
        <v>23</v>
      </c>
      <c r="D440" s="17">
        <v>1</v>
      </c>
      <c r="E440" s="17">
        <v>1</v>
      </c>
      <c r="F440" s="17">
        <v>1</v>
      </c>
      <c r="G440" s="17">
        <v>1</v>
      </c>
    </row>
    <row r="441" spans="2:7" x14ac:dyDescent="0.2">
      <c r="B441" s="16"/>
      <c r="C441" s="11" t="s">
        <v>24</v>
      </c>
      <c r="D441" s="12" cm="1">
        <f t="array" ref="D441:G442">_xlfn.ANCHORARRAY(D432)</f>
        <v>0</v>
      </c>
      <c r="E441" s="12">
        <v>0</v>
      </c>
      <c r="F441" s="12">
        <v>1</v>
      </c>
      <c r="G441" s="12">
        <v>1</v>
      </c>
    </row>
    <row r="442" spans="2:7" x14ac:dyDescent="0.2">
      <c r="B442" s="16"/>
      <c r="C442" s="13"/>
      <c r="D442" s="14">
        <v>0</v>
      </c>
      <c r="E442" s="14">
        <v>1</v>
      </c>
      <c r="F442" s="14">
        <v>0</v>
      </c>
      <c r="G442" s="14">
        <v>1</v>
      </c>
    </row>
    <row r="443" spans="2:7" x14ac:dyDescent="0.2">
      <c r="C443" s="9" t="s">
        <v>22</v>
      </c>
      <c r="D443" s="18">
        <f>D438*D439</f>
        <v>8.2239544284649815E-4</v>
      </c>
      <c r="E443" s="18">
        <f t="shared" ref="E443:G443" si="164">E438*E439</f>
        <v>6.8947343469389119E-2</v>
      </c>
      <c r="F443" s="18">
        <f t="shared" si="164"/>
        <v>6.1079607025912835E-2</v>
      </c>
      <c r="G443" s="18">
        <f t="shared" si="164"/>
        <v>-9.1831947579589734E-2</v>
      </c>
    </row>
    <row r="444" spans="2:7" x14ac:dyDescent="0.2">
      <c r="C444" s="9" t="s">
        <v>25</v>
      </c>
      <c r="D444" s="10">
        <f>D443*D440</f>
        <v>8.2239544284649815E-4</v>
      </c>
      <c r="E444" s="10">
        <f t="shared" ref="E444" si="165">E443*E440</f>
        <v>6.8947343469389119E-2</v>
      </c>
      <c r="F444" s="10">
        <f t="shared" ref="F444" si="166">F443*F440</f>
        <v>6.1079607025912835E-2</v>
      </c>
      <c r="G444" s="10">
        <f t="shared" ref="G444" si="167">G443*G440</f>
        <v>-9.1831947579589734E-2</v>
      </c>
    </row>
    <row r="445" spans="2:7" x14ac:dyDescent="0.2">
      <c r="B445" s="30"/>
      <c r="C445" s="19" t="s">
        <v>26</v>
      </c>
      <c r="D445" s="20">
        <f>D443*D441</f>
        <v>0</v>
      </c>
      <c r="E445" s="20">
        <f t="shared" ref="E445:G445" si="168">E443*E441</f>
        <v>0</v>
      </c>
      <c r="F445" s="20">
        <f t="shared" si="168"/>
        <v>6.1079607025912835E-2</v>
      </c>
      <c r="G445" s="20">
        <f t="shared" si="168"/>
        <v>-9.1831947579589734E-2</v>
      </c>
    </row>
    <row r="446" spans="2:7" x14ac:dyDescent="0.2">
      <c r="B446" s="15"/>
      <c r="C446" s="15"/>
      <c r="D446" s="21">
        <f>D443*D442</f>
        <v>0</v>
      </c>
      <c r="E446" s="21">
        <f t="shared" ref="E446:G446" si="169">E443*E442</f>
        <v>6.8947343469389119E-2</v>
      </c>
      <c r="F446" s="21">
        <f t="shared" si="169"/>
        <v>0</v>
      </c>
      <c r="G446" s="21">
        <f t="shared" si="169"/>
        <v>-9.1831947579589734E-2</v>
      </c>
    </row>
    <row r="447" spans="2:7" x14ac:dyDescent="0.2">
      <c r="B447" s="25" t="s">
        <v>27</v>
      </c>
      <c r="C447" s="25" t="s">
        <v>28</v>
      </c>
      <c r="D447" s="24"/>
      <c r="E447" s="24"/>
      <c r="F447" s="24"/>
      <c r="G447" s="26">
        <f>AVERAGE(D444:G444)</f>
        <v>9.7543495896396798E-3</v>
      </c>
    </row>
    <row r="448" spans="2:7" x14ac:dyDescent="0.2">
      <c r="B448" s="24"/>
      <c r="C448" s="25" t="s">
        <v>29</v>
      </c>
      <c r="D448" s="24"/>
      <c r="E448" s="24"/>
      <c r="F448" s="24"/>
      <c r="G448" s="26">
        <f>AVERAGE(D445:G445)</f>
        <v>-7.6880851384192248E-3</v>
      </c>
    </row>
    <row r="449" spans="2:7" x14ac:dyDescent="0.2">
      <c r="B449" s="27"/>
      <c r="C449" s="28" t="s">
        <v>30</v>
      </c>
      <c r="D449" s="27"/>
      <c r="E449" s="27"/>
      <c r="F449" s="27"/>
      <c r="G449" s="29">
        <f>AVERAGE(D446:G446)</f>
        <v>-5.7211510275501538E-3</v>
      </c>
    </row>
    <row r="451" spans="2:7" x14ac:dyDescent="0.2">
      <c r="B451" s="31" t="s">
        <v>31</v>
      </c>
      <c r="C451" s="32"/>
      <c r="D451" s="32"/>
      <c r="E451" s="32"/>
      <c r="F451" s="32"/>
      <c r="G451" s="32"/>
    </row>
    <row r="452" spans="2:7" x14ac:dyDescent="0.2">
      <c r="B452" s="36" t="s">
        <v>33</v>
      </c>
      <c r="C452" s="33"/>
      <c r="D452" s="33"/>
      <c r="E452" s="36" t="s">
        <v>6</v>
      </c>
      <c r="F452" s="36" t="s">
        <v>7</v>
      </c>
      <c r="G452" s="36" t="s">
        <v>8</v>
      </c>
    </row>
    <row r="453" spans="2:7" x14ac:dyDescent="0.2">
      <c r="B453" s="37">
        <f>B430+1</f>
        <v>20</v>
      </c>
      <c r="C453" s="34"/>
      <c r="D453" s="34"/>
      <c r="E453" s="35">
        <f>E430-lr*G447</f>
        <v>-3.9647089765169361</v>
      </c>
      <c r="F453" s="35">
        <f>F430-lr*G448</f>
        <v>2.5245786315076981</v>
      </c>
      <c r="G453" s="35">
        <f>G430-lr*G449</f>
        <v>2.5917677194605933</v>
      </c>
    </row>
    <row r="454" spans="2:7" x14ac:dyDescent="0.2">
      <c r="B454" s="4" t="s">
        <v>14</v>
      </c>
      <c r="C454" s="4" t="s">
        <v>15</v>
      </c>
      <c r="D454" s="5" cm="1">
        <f t="array" ref="D454:G454">TRANSPOSE($D$6:$D$9)</f>
        <v>0</v>
      </c>
      <c r="E454" s="5">
        <v>0</v>
      </c>
      <c r="F454" s="5">
        <v>0</v>
      </c>
      <c r="G454" s="5">
        <v>1</v>
      </c>
    </row>
    <row r="455" spans="2:7" x14ac:dyDescent="0.2">
      <c r="B455" s="11" t="s">
        <v>4</v>
      </c>
      <c r="C455" s="11" t="s">
        <v>9</v>
      </c>
      <c r="D455" s="12" cm="1">
        <f t="array" ref="D455:G456">TRANSPOSE($B$6:$C$9)</f>
        <v>0</v>
      </c>
      <c r="E455" s="12">
        <v>0</v>
      </c>
      <c r="F455" s="12">
        <v>1</v>
      </c>
      <c r="G455" s="12">
        <v>1</v>
      </c>
    </row>
    <row r="456" spans="2:7" x14ac:dyDescent="0.2">
      <c r="B456" s="15"/>
      <c r="C456" s="13" t="s">
        <v>10</v>
      </c>
      <c r="D456" s="14">
        <v>0</v>
      </c>
      <c r="E456" s="14">
        <v>1</v>
      </c>
      <c r="F456" s="14">
        <v>0</v>
      </c>
      <c r="G456" s="14">
        <v>1</v>
      </c>
    </row>
    <row r="457" spans="2:7" x14ac:dyDescent="0.2">
      <c r="B457" s="6" t="s">
        <v>13</v>
      </c>
      <c r="C457" s="6" t="s">
        <v>11</v>
      </c>
      <c r="D457" s="7" cm="1">
        <f t="array" ref="D457:G457">MMULT(F453:G453,_xlfn.ANCHORARRAY(D455))+E453</f>
        <v>-3.9647089765169361</v>
      </c>
      <c r="E457" s="7">
        <v>-1.3729412570563428</v>
      </c>
      <c r="F457" s="7">
        <v>-1.440130345009238</v>
      </c>
      <c r="G457" s="7">
        <v>1.1516373744513548</v>
      </c>
    </row>
    <row r="458" spans="2:7" x14ac:dyDescent="0.2">
      <c r="B458" s="5"/>
      <c r="C458" s="4" t="s">
        <v>12</v>
      </c>
      <c r="D458" s="8">
        <f>1/(1+EXP(-D457))</f>
        <v>1.8620264892125361E-2</v>
      </c>
      <c r="E458" s="8">
        <f>1/(1+EXP(-E457))</f>
        <v>0.20214505773104793</v>
      </c>
      <c r="F458" s="8">
        <f>1/(1+EXP(-F457))</f>
        <v>0.19152516470170125</v>
      </c>
      <c r="G458" s="8">
        <f>1/(1+EXP(-G457))</f>
        <v>0.75980986298575592</v>
      </c>
    </row>
    <row r="459" spans="2:7" x14ac:dyDescent="0.2">
      <c r="B459" s="9" t="s">
        <v>16</v>
      </c>
      <c r="C459" s="9" t="s">
        <v>19</v>
      </c>
      <c r="D459" s="10">
        <f>POWER(D458-D454,2)</f>
        <v>3.4671426465291626E-4</v>
      </c>
      <c r="E459" s="10">
        <f t="shared" ref="E459:G459" si="170">POWER(E458-E454,2)</f>
        <v>4.0862624365088702E-2</v>
      </c>
      <c r="F459" s="10">
        <f t="shared" si="170"/>
        <v>3.6681888714013788E-2</v>
      </c>
      <c r="G459" s="10">
        <f t="shared" si="170"/>
        <v>5.7691301918921342E-2</v>
      </c>
    </row>
    <row r="460" spans="2:7" x14ac:dyDescent="0.2">
      <c r="B460" s="22" t="s">
        <v>5</v>
      </c>
      <c r="C460" s="22" t="s">
        <v>17</v>
      </c>
      <c r="D460" s="23"/>
      <c r="E460" s="23"/>
      <c r="F460" s="23"/>
      <c r="G460" s="38">
        <f>SUM(D459:G459)</f>
        <v>0.13558252926267675</v>
      </c>
    </row>
    <row r="461" spans="2:7" x14ac:dyDescent="0.2">
      <c r="B461" s="2" t="s">
        <v>18</v>
      </c>
      <c r="C461" s="9" t="s">
        <v>20</v>
      </c>
      <c r="D461" s="10">
        <f>2*(D458-D454)</f>
        <v>3.7240529784250721E-2</v>
      </c>
      <c r="E461" s="10">
        <f t="shared" ref="E461:G461" si="171">2*(E458-E454)</f>
        <v>0.40429011546209587</v>
      </c>
      <c r="F461" s="10">
        <f t="shared" si="171"/>
        <v>0.3830503294034025</v>
      </c>
      <c r="G461" s="10">
        <f t="shared" si="171"/>
        <v>-0.48038027402848815</v>
      </c>
    </row>
    <row r="462" spans="2:7" x14ac:dyDescent="0.2">
      <c r="C462" s="4" t="s">
        <v>21</v>
      </c>
      <c r="D462" s="8">
        <f>D458*(1-D458)</f>
        <v>1.8273550627472445E-2</v>
      </c>
      <c r="E462" s="8">
        <f t="shared" ref="E462:G462" si="172">E458*(1-E458)</f>
        <v>0.16128243336595924</v>
      </c>
      <c r="F462" s="8">
        <f t="shared" si="172"/>
        <v>0.15484327598768746</v>
      </c>
      <c r="G462" s="8">
        <f t="shared" si="172"/>
        <v>0.18249883509532272</v>
      </c>
    </row>
    <row r="463" spans="2:7" x14ac:dyDescent="0.2">
      <c r="C463" s="9" t="s">
        <v>23</v>
      </c>
      <c r="D463" s="17">
        <v>1</v>
      </c>
      <c r="E463" s="17">
        <v>1</v>
      </c>
      <c r="F463" s="17">
        <v>1</v>
      </c>
      <c r="G463" s="17">
        <v>1</v>
      </c>
    </row>
    <row r="464" spans="2:7" x14ac:dyDescent="0.2">
      <c r="B464" s="16"/>
      <c r="C464" s="11" t="s">
        <v>24</v>
      </c>
      <c r="D464" s="12" cm="1">
        <f t="array" ref="D464:G465">_xlfn.ANCHORARRAY(D455)</f>
        <v>0</v>
      </c>
      <c r="E464" s="12">
        <v>0</v>
      </c>
      <c r="F464" s="12">
        <v>1</v>
      </c>
      <c r="G464" s="12">
        <v>1</v>
      </c>
    </row>
    <row r="465" spans="2:7" x14ac:dyDescent="0.2">
      <c r="B465" s="16"/>
      <c r="C465" s="13"/>
      <c r="D465" s="14">
        <v>0</v>
      </c>
      <c r="E465" s="14">
        <v>1</v>
      </c>
      <c r="F465" s="14">
        <v>0</v>
      </c>
      <c r="G465" s="14">
        <v>1</v>
      </c>
    </row>
    <row r="466" spans="2:7" x14ac:dyDescent="0.2">
      <c r="C466" s="9" t="s">
        <v>22</v>
      </c>
      <c r="D466" s="18">
        <f>D461*D462</f>
        <v>6.8051670640640108E-4</v>
      </c>
      <c r="E466" s="18">
        <f t="shared" ref="E466:G466" si="173">E461*E462</f>
        <v>6.5204893607531442E-2</v>
      </c>
      <c r="F466" s="18">
        <f t="shared" si="173"/>
        <v>5.9312767872985644E-2</v>
      </c>
      <c r="G466" s="18">
        <f t="shared" si="173"/>
        <v>-8.7668840412971002E-2</v>
      </c>
    </row>
    <row r="467" spans="2:7" x14ac:dyDescent="0.2">
      <c r="C467" s="9" t="s">
        <v>25</v>
      </c>
      <c r="D467" s="10">
        <f>D466*D463</f>
        <v>6.8051670640640108E-4</v>
      </c>
      <c r="E467" s="10">
        <f t="shared" ref="E467" si="174">E466*E463</f>
        <v>6.5204893607531442E-2</v>
      </c>
      <c r="F467" s="10">
        <f t="shared" ref="F467" si="175">F466*F463</f>
        <v>5.9312767872985644E-2</v>
      </c>
      <c r="G467" s="10">
        <f t="shared" ref="G467" si="176">G466*G463</f>
        <v>-8.7668840412971002E-2</v>
      </c>
    </row>
    <row r="468" spans="2:7" x14ac:dyDescent="0.2">
      <c r="B468" s="30"/>
      <c r="C468" s="19" t="s">
        <v>26</v>
      </c>
      <c r="D468" s="20">
        <f>D466*D464</f>
        <v>0</v>
      </c>
      <c r="E468" s="20">
        <f t="shared" ref="E468:G468" si="177">E466*E464</f>
        <v>0</v>
      </c>
      <c r="F468" s="20">
        <f t="shared" si="177"/>
        <v>5.9312767872985644E-2</v>
      </c>
      <c r="G468" s="20">
        <f t="shared" si="177"/>
        <v>-8.7668840412971002E-2</v>
      </c>
    </row>
    <row r="469" spans="2:7" x14ac:dyDescent="0.2">
      <c r="B469" s="15"/>
      <c r="C469" s="15"/>
      <c r="D469" s="21">
        <f>D466*D465</f>
        <v>0</v>
      </c>
      <c r="E469" s="21">
        <f t="shared" ref="E469:G469" si="178">E466*E465</f>
        <v>6.5204893607531442E-2</v>
      </c>
      <c r="F469" s="21">
        <f t="shared" si="178"/>
        <v>0</v>
      </c>
      <c r="G469" s="21">
        <f t="shared" si="178"/>
        <v>-8.7668840412971002E-2</v>
      </c>
    </row>
    <row r="470" spans="2:7" x14ac:dyDescent="0.2">
      <c r="B470" s="25" t="s">
        <v>27</v>
      </c>
      <c r="C470" s="25" t="s">
        <v>28</v>
      </c>
      <c r="D470" s="24"/>
      <c r="E470" s="24"/>
      <c r="F470" s="24"/>
      <c r="G470" s="26">
        <f>AVERAGE(D467:G467)</f>
        <v>9.3823344434881169E-3</v>
      </c>
    </row>
    <row r="471" spans="2:7" x14ac:dyDescent="0.2">
      <c r="B471" s="24"/>
      <c r="C471" s="25" t="s">
        <v>29</v>
      </c>
      <c r="D471" s="24"/>
      <c r="E471" s="24"/>
      <c r="F471" s="24"/>
      <c r="G471" s="26">
        <f>AVERAGE(D468:G468)</f>
        <v>-7.0890181349963395E-3</v>
      </c>
    </row>
    <row r="472" spans="2:7" x14ac:dyDescent="0.2">
      <c r="B472" s="27"/>
      <c r="C472" s="28" t="s">
        <v>30</v>
      </c>
      <c r="D472" s="27"/>
      <c r="E472" s="27"/>
      <c r="F472" s="27"/>
      <c r="G472" s="29">
        <f>AVERAGE(D469:G469)</f>
        <v>-5.6159867013598902E-3</v>
      </c>
    </row>
    <row r="474" spans="2:7" x14ac:dyDescent="0.2">
      <c r="B474" s="31" t="s">
        <v>31</v>
      </c>
      <c r="C474" s="32"/>
      <c r="D474" s="32"/>
      <c r="E474" s="32"/>
      <c r="F474" s="32"/>
      <c r="G474" s="32"/>
    </row>
    <row r="475" spans="2:7" x14ac:dyDescent="0.2">
      <c r="B475" s="36" t="s">
        <v>33</v>
      </c>
      <c r="C475" s="33"/>
      <c r="D475" s="33"/>
      <c r="E475" s="36" t="s">
        <v>6</v>
      </c>
      <c r="F475" s="36" t="s">
        <v>7</v>
      </c>
      <c r="G475" s="36" t="s">
        <v>8</v>
      </c>
    </row>
    <row r="476" spans="2:7" x14ac:dyDescent="0.2">
      <c r="B476" s="37">
        <f>B453+1</f>
        <v>21</v>
      </c>
      <c r="C476" s="34"/>
      <c r="D476" s="34"/>
      <c r="E476" s="35">
        <f>E453-lr*G470</f>
        <v>-4.0585323209518176</v>
      </c>
      <c r="F476" s="35">
        <f>F453-lr*G471</f>
        <v>2.5954688128576615</v>
      </c>
      <c r="G476" s="35">
        <f>G453-lr*G472</f>
        <v>2.647927586474192</v>
      </c>
    </row>
    <row r="477" spans="2:7" x14ac:dyDescent="0.2">
      <c r="B477" s="4" t="s">
        <v>14</v>
      </c>
      <c r="C477" s="4" t="s">
        <v>15</v>
      </c>
      <c r="D477" s="5" cm="1">
        <f t="array" ref="D477:G477">TRANSPOSE($D$6:$D$9)</f>
        <v>0</v>
      </c>
      <c r="E477" s="5">
        <v>0</v>
      </c>
      <c r="F477" s="5">
        <v>0</v>
      </c>
      <c r="G477" s="5">
        <v>1</v>
      </c>
    </row>
    <row r="478" spans="2:7" x14ac:dyDescent="0.2">
      <c r="B478" s="11" t="s">
        <v>4</v>
      </c>
      <c r="C478" s="11" t="s">
        <v>9</v>
      </c>
      <c r="D478" s="12" cm="1">
        <f t="array" ref="D478:G479">TRANSPOSE($B$6:$C$9)</f>
        <v>0</v>
      </c>
      <c r="E478" s="12">
        <v>0</v>
      </c>
      <c r="F478" s="12">
        <v>1</v>
      </c>
      <c r="G478" s="12">
        <v>1</v>
      </c>
    </row>
    <row r="479" spans="2:7" x14ac:dyDescent="0.2">
      <c r="B479" s="15"/>
      <c r="C479" s="13" t="s">
        <v>10</v>
      </c>
      <c r="D479" s="14">
        <v>0</v>
      </c>
      <c r="E479" s="14">
        <v>1</v>
      </c>
      <c r="F479" s="14">
        <v>0</v>
      </c>
      <c r="G479" s="14">
        <v>1</v>
      </c>
    </row>
    <row r="480" spans="2:7" x14ac:dyDescent="0.2">
      <c r="B480" s="6" t="s">
        <v>13</v>
      </c>
      <c r="C480" s="6" t="s">
        <v>11</v>
      </c>
      <c r="D480" s="7" cm="1">
        <f t="array" ref="D480:G480">MMULT(F476:G476,_xlfn.ANCHORARRAY(D478))+E476</f>
        <v>-4.0585323209518176</v>
      </c>
      <c r="E480" s="7">
        <v>-1.4106047344776256</v>
      </c>
      <c r="F480" s="7">
        <v>-1.4630635080941561</v>
      </c>
      <c r="G480" s="7">
        <v>1.1848640783800359</v>
      </c>
    </row>
    <row r="481" spans="2:7" x14ac:dyDescent="0.2">
      <c r="B481" s="5"/>
      <c r="C481" s="4" t="s">
        <v>12</v>
      </c>
      <c r="D481" s="8">
        <f>1/(1+EXP(-D480))</f>
        <v>1.6981017621272368E-2</v>
      </c>
      <c r="E481" s="8">
        <f>1/(1+EXP(-E480))</f>
        <v>0.1961386913847154</v>
      </c>
      <c r="F481" s="8">
        <f>1/(1+EXP(-F480))</f>
        <v>0.1879992167595847</v>
      </c>
      <c r="G481" s="8">
        <f>1/(1+EXP(-G480))</f>
        <v>0.76582125064460471</v>
      </c>
    </row>
    <row r="482" spans="2:7" x14ac:dyDescent="0.2">
      <c r="B482" s="9" t="s">
        <v>16</v>
      </c>
      <c r="C482" s="9" t="s">
        <v>19</v>
      </c>
      <c r="D482" s="10">
        <f>POWER(D481-D477,2)</f>
        <v>2.8835495945396267E-4</v>
      </c>
      <c r="E482" s="10">
        <f t="shared" ref="E482:G482" si="179">POWER(E481-E477,2)</f>
        <v>3.8470386258108634E-2</v>
      </c>
      <c r="F482" s="10">
        <f t="shared" si="179"/>
        <v>3.5343705502217312E-2</v>
      </c>
      <c r="G482" s="10">
        <f t="shared" si="179"/>
        <v>5.4839686649657049E-2</v>
      </c>
    </row>
    <row r="483" spans="2:7" x14ac:dyDescent="0.2">
      <c r="B483" s="22" t="s">
        <v>5</v>
      </c>
      <c r="C483" s="22" t="s">
        <v>17</v>
      </c>
      <c r="D483" s="23"/>
      <c r="E483" s="23"/>
      <c r="F483" s="23"/>
      <c r="G483" s="38">
        <f>SUM(D482:G482)</f>
        <v>0.12894213336943697</v>
      </c>
    </row>
    <row r="484" spans="2:7" x14ac:dyDescent="0.2">
      <c r="B484" s="2" t="s">
        <v>18</v>
      </c>
      <c r="C484" s="9" t="s">
        <v>20</v>
      </c>
      <c r="D484" s="10">
        <f>2*(D481-D477)</f>
        <v>3.3962035242544736E-2</v>
      </c>
      <c r="E484" s="10">
        <f t="shared" ref="E484:G484" si="180">2*(E481-E477)</f>
        <v>0.3922773827694308</v>
      </c>
      <c r="F484" s="10">
        <f t="shared" si="180"/>
        <v>0.37599843351916939</v>
      </c>
      <c r="G484" s="10">
        <f t="shared" si="180"/>
        <v>-0.46835749871079058</v>
      </c>
    </row>
    <row r="485" spans="2:7" x14ac:dyDescent="0.2">
      <c r="C485" s="4" t="s">
        <v>21</v>
      </c>
      <c r="D485" s="8">
        <f>D481*(1-D481)</f>
        <v>1.6692662661818406E-2</v>
      </c>
      <c r="E485" s="8">
        <f t="shared" ref="E485:G485" si="181">E481*(1-E481)</f>
        <v>0.15766830512660676</v>
      </c>
      <c r="F485" s="8">
        <f t="shared" si="181"/>
        <v>0.15265551125736737</v>
      </c>
      <c r="G485" s="8">
        <f t="shared" si="181"/>
        <v>0.17933906270573824</v>
      </c>
    </row>
    <row r="486" spans="2:7" x14ac:dyDescent="0.2">
      <c r="C486" s="9" t="s">
        <v>23</v>
      </c>
      <c r="D486" s="17">
        <v>1</v>
      </c>
      <c r="E486" s="17">
        <v>1</v>
      </c>
      <c r="F486" s="17">
        <v>1</v>
      </c>
      <c r="G486" s="17">
        <v>1</v>
      </c>
    </row>
    <row r="487" spans="2:7" x14ac:dyDescent="0.2">
      <c r="B487" s="16"/>
      <c r="C487" s="11" t="s">
        <v>24</v>
      </c>
      <c r="D487" s="12" cm="1">
        <f t="array" ref="D487:G488">_xlfn.ANCHORARRAY(D478)</f>
        <v>0</v>
      </c>
      <c r="E487" s="12">
        <v>0</v>
      </c>
      <c r="F487" s="12">
        <v>1</v>
      </c>
      <c r="G487" s="12">
        <v>1</v>
      </c>
    </row>
    <row r="488" spans="2:7" x14ac:dyDescent="0.2">
      <c r="B488" s="16"/>
      <c r="C488" s="13"/>
      <c r="D488" s="14">
        <v>0</v>
      </c>
      <c r="E488" s="14">
        <v>1</v>
      </c>
      <c r="F488" s="14">
        <v>0</v>
      </c>
      <c r="G488" s="14">
        <v>1</v>
      </c>
    </row>
    <row r="489" spans="2:7" x14ac:dyDescent="0.2">
      <c r="C489" s="9" t="s">
        <v>22</v>
      </c>
      <c r="D489" s="18">
        <f>D484*D485</f>
        <v>5.669167976125873E-4</v>
      </c>
      <c r="E489" s="18">
        <f t="shared" ref="E489:G489" si="182">E484*E485</f>
        <v>6.1849710080757327E-2</v>
      </c>
      <c r="F489" s="18">
        <f t="shared" si="182"/>
        <v>5.739823310083806E-2</v>
      </c>
      <c r="G489" s="18">
        <f t="shared" si="182"/>
        <v>-8.3994794829997194E-2</v>
      </c>
    </row>
    <row r="490" spans="2:7" x14ac:dyDescent="0.2">
      <c r="C490" s="9" t="s">
        <v>25</v>
      </c>
      <c r="D490" s="10">
        <f>D489*D486</f>
        <v>5.669167976125873E-4</v>
      </c>
      <c r="E490" s="10">
        <f t="shared" ref="E490" si="183">E489*E486</f>
        <v>6.1849710080757327E-2</v>
      </c>
      <c r="F490" s="10">
        <f t="shared" ref="F490" si="184">F489*F486</f>
        <v>5.739823310083806E-2</v>
      </c>
      <c r="G490" s="10">
        <f t="shared" ref="G490" si="185">G489*G486</f>
        <v>-8.3994794829997194E-2</v>
      </c>
    </row>
    <row r="491" spans="2:7" x14ac:dyDescent="0.2">
      <c r="B491" s="30"/>
      <c r="C491" s="19" t="s">
        <v>26</v>
      </c>
      <c r="D491" s="20">
        <f>D489*D487</f>
        <v>0</v>
      </c>
      <c r="E491" s="20">
        <f t="shared" ref="E491:G491" si="186">E489*E487</f>
        <v>0</v>
      </c>
      <c r="F491" s="20">
        <f t="shared" si="186"/>
        <v>5.739823310083806E-2</v>
      </c>
      <c r="G491" s="20">
        <f t="shared" si="186"/>
        <v>-8.3994794829997194E-2</v>
      </c>
    </row>
    <row r="492" spans="2:7" x14ac:dyDescent="0.2">
      <c r="B492" s="15"/>
      <c r="C492" s="15"/>
      <c r="D492" s="21">
        <f>D489*D488</f>
        <v>0</v>
      </c>
      <c r="E492" s="21">
        <f t="shared" ref="E492:G492" si="187">E489*E488</f>
        <v>6.1849710080757327E-2</v>
      </c>
      <c r="F492" s="21">
        <f t="shared" si="187"/>
        <v>0</v>
      </c>
      <c r="G492" s="21">
        <f t="shared" si="187"/>
        <v>-8.3994794829997194E-2</v>
      </c>
    </row>
    <row r="493" spans="2:7" x14ac:dyDescent="0.2">
      <c r="B493" s="25" t="s">
        <v>27</v>
      </c>
      <c r="C493" s="25" t="s">
        <v>28</v>
      </c>
      <c r="D493" s="24"/>
      <c r="E493" s="24"/>
      <c r="F493" s="24"/>
      <c r="G493" s="26">
        <f>AVERAGE(D490:G490)</f>
        <v>8.9550162873026952E-3</v>
      </c>
    </row>
    <row r="494" spans="2:7" x14ac:dyDescent="0.2">
      <c r="B494" s="24"/>
      <c r="C494" s="25" t="s">
        <v>29</v>
      </c>
      <c r="D494" s="24"/>
      <c r="E494" s="24"/>
      <c r="F494" s="24"/>
      <c r="G494" s="26">
        <f>AVERAGE(D491:G491)</f>
        <v>-6.6491404322897834E-3</v>
      </c>
    </row>
    <row r="495" spans="2:7" x14ac:dyDescent="0.2">
      <c r="B495" s="27"/>
      <c r="C495" s="28" t="s">
        <v>30</v>
      </c>
      <c r="D495" s="27"/>
      <c r="E495" s="27"/>
      <c r="F495" s="27"/>
      <c r="G495" s="29">
        <f>AVERAGE(D492:G492)</f>
        <v>-5.5362711873099667E-3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Shallow_NN_AND_Gate</vt:lpstr>
      <vt:lpstr>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Takis Fessas</dc:creator>
  <cp:lastModifiedBy>Takis Fessas</cp:lastModifiedBy>
  <dcterms:created xsi:type="dcterms:W3CDTF">2025-08-27T18:07:24Z</dcterms:created>
  <dcterms:modified xsi:type="dcterms:W3CDTF">2025-08-27T21:26:20Z</dcterms:modified>
</cp:coreProperties>
</file>