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kis/Documents/sckool/notes-deep-learning/C5_Coursera_Sequence_Models/"/>
    </mc:Choice>
  </mc:AlternateContent>
  <xr:revisionPtr revIDLastSave="0" documentId="13_ncr:1_{92B276C9-2056-6342-A683-DBAD90A8E173}" xr6:coauthVersionLast="47" xr6:coauthVersionMax="47" xr10:uidLastSave="{00000000-0000-0000-0000-000000000000}"/>
  <bookViews>
    <workbookView xWindow="0" yWindow="500" windowWidth="14400" windowHeight="16080" activeTab="1" xr2:uid="{AABB8784-83D0-114F-BA30-ADB4D290B9FE}"/>
  </bookViews>
  <sheets>
    <sheet name="attention_calculations" sheetId="1" r:id="rId1"/>
    <sheet name="transformer_calcul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9" i="2" l="1"/>
  <c r="C34" i="2"/>
  <c r="B16" i="2"/>
  <c r="H17" i="2" s="1"/>
  <c r="J15" i="1"/>
  <c r="G14" i="1" a="1"/>
  <c r="G14" i="1" s="1"/>
  <c r="G9" i="1" a="1"/>
  <c r="G9" i="1" s="1"/>
  <c r="K3" i="1" s="1" a="1"/>
  <c r="K3" i="1" s="1"/>
  <c r="G3" i="1" a="1"/>
  <c r="G3" i="1" s="1"/>
  <c r="K10" i="1" s="1" a="1"/>
  <c r="K10" i="1" s="1"/>
  <c r="F22" i="2" l="1"/>
  <c r="F30" i="2" s="1"/>
  <c r="G17" i="2"/>
  <c r="G25" i="2" s="1"/>
  <c r="D17" i="2"/>
  <c r="D25" i="2" s="1"/>
  <c r="C20" i="2"/>
  <c r="C28" i="2" s="1"/>
  <c r="C17" i="2"/>
  <c r="C25" i="2" s="1"/>
  <c r="F18" i="2"/>
  <c r="F26" i="2" s="1"/>
  <c r="D18" i="2"/>
  <c r="D26" i="2" s="1"/>
  <c r="E17" i="2"/>
  <c r="E25" i="2" s="1"/>
  <c r="C21" i="2"/>
  <c r="C29" i="2" s="1"/>
  <c r="C18" i="2"/>
  <c r="C26" i="2" s="1"/>
  <c r="E18" i="2"/>
  <c r="E26" i="2" s="1"/>
  <c r="F17" i="2"/>
  <c r="F25" i="2" s="1"/>
  <c r="C22" i="2"/>
  <c r="C30" i="2" s="1"/>
  <c r="C19" i="2"/>
  <c r="C27" i="2" s="1"/>
  <c r="D22" i="2"/>
  <c r="D30" i="2" s="1"/>
  <c r="H21" i="2"/>
  <c r="H29" i="2" s="1"/>
  <c r="G21" i="2"/>
  <c r="G29" i="2" s="1"/>
  <c r="F21" i="2"/>
  <c r="F29" i="2" s="1"/>
  <c r="E21" i="2"/>
  <c r="E29" i="2" s="1"/>
  <c r="D21" i="2"/>
  <c r="D29" i="2" s="1"/>
  <c r="H20" i="2"/>
  <c r="H28" i="2" s="1"/>
  <c r="G20" i="2"/>
  <c r="G28" i="2" s="1"/>
  <c r="F20" i="2"/>
  <c r="F28" i="2" s="1"/>
  <c r="D20" i="2"/>
  <c r="D28" i="2" s="1"/>
  <c r="G19" i="2"/>
  <c r="G27" i="2" s="1"/>
  <c r="F19" i="2"/>
  <c r="F27" i="2" s="1"/>
  <c r="D19" i="2"/>
  <c r="D27" i="2" s="1"/>
  <c r="G18" i="2"/>
  <c r="G26" i="2" s="1"/>
  <c r="E22" i="2"/>
  <c r="E30" i="2" s="1"/>
  <c r="H19" i="2"/>
  <c r="H27" i="2" s="1"/>
  <c r="E19" i="2"/>
  <c r="E27" i="2" s="1"/>
  <c r="H18" i="2"/>
  <c r="H26" i="2" s="1"/>
  <c r="G22" i="2"/>
  <c r="G30" i="2" s="1"/>
  <c r="H22" i="2"/>
  <c r="H30" i="2" s="1"/>
  <c r="E20" i="2"/>
  <c r="E28" i="2" s="1"/>
  <c r="H25" i="2"/>
  <c r="M16" i="1"/>
  <c r="M21" i="1" s="1"/>
  <c r="M25" i="1" s="1"/>
  <c r="R5" i="1" s="1"/>
  <c r="L14" i="1"/>
  <c r="L19" i="1" s="1"/>
  <c r="M14" i="1"/>
  <c r="M19" i="1" s="1"/>
  <c r="M23" i="1" s="1"/>
  <c r="R3" i="1" s="1"/>
  <c r="K15" i="1"/>
  <c r="K20" i="1" s="1"/>
  <c r="L15" i="1"/>
  <c r="L20" i="1" s="1"/>
  <c r="M15" i="1"/>
  <c r="M20" i="1" s="1"/>
  <c r="K16" i="1"/>
  <c r="K21" i="1" s="1"/>
  <c r="L16" i="1"/>
  <c r="L21" i="1" s="1"/>
  <c r="K14" i="1"/>
  <c r="K19" i="1" s="1"/>
  <c r="K4" i="2" l="1" a="1"/>
  <c r="K4" i="2" s="1"/>
  <c r="M24" i="1"/>
  <c r="R4" i="1" s="1"/>
  <c r="K24" i="1"/>
  <c r="P4" i="1" s="1"/>
  <c r="K25" i="1"/>
  <c r="P5" i="1" s="1"/>
  <c r="L25" i="1"/>
  <c r="Q5" i="1" s="1"/>
  <c r="K23" i="1"/>
  <c r="P3" i="1" s="1"/>
  <c r="L23" i="1"/>
  <c r="Q3" i="1" s="1"/>
  <c r="L24" i="1"/>
  <c r="Q4" i="1" s="1"/>
  <c r="S22" i="2" l="1" a="1"/>
  <c r="S22" i="2" s="1"/>
  <c r="S13" i="2" a="1"/>
  <c r="S13" i="2" s="1"/>
  <c r="Y4" i="2" s="1" a="1"/>
  <c r="Y4" i="2" s="1"/>
  <c r="S4" i="2" a="1"/>
  <c r="S4" i="2" s="1"/>
  <c r="P10" i="1" a="1"/>
  <c r="P10" i="1" s="1"/>
  <c r="Y10" i="2" l="1" a="1"/>
  <c r="AC23" i="2" l="1"/>
  <c r="AC31" i="2" s="1"/>
  <c r="AB23" i="2"/>
  <c r="AB31" i="2" s="1"/>
  <c r="AA23" i="2"/>
  <c r="AA31" i="2" s="1"/>
  <c r="Z23" i="2"/>
  <c r="Z31" i="2" s="1"/>
  <c r="AB22" i="2"/>
  <c r="AB30" i="2" s="1"/>
  <c r="AC21" i="2"/>
  <c r="AC29" i="2" s="1"/>
  <c r="Y23" i="2"/>
  <c r="Y31" i="2" s="1"/>
  <c r="AC39" i="2" s="1"/>
  <c r="AK8" i="2" s="1"/>
  <c r="AD22" i="2"/>
  <c r="AD30" i="2" s="1"/>
  <c r="AD38" i="2" s="1"/>
  <c r="AL7" i="2" s="1"/>
  <c r="Y21" i="2"/>
  <c r="Y29" i="2" s="1"/>
  <c r="AC20" i="2"/>
  <c r="AC28" i="2" s="1"/>
  <c r="AA19" i="2"/>
  <c r="AA27" i="2" s="1"/>
  <c r="Z19" i="2"/>
  <c r="Z27" i="2" s="1"/>
  <c r="AC22" i="2"/>
  <c r="AC30" i="2" s="1"/>
  <c r="AC38" i="2" s="1"/>
  <c r="AK7" i="2" s="1"/>
  <c r="Z22" i="2"/>
  <c r="Z30" i="2" s="1"/>
  <c r="Z38" i="2" s="1"/>
  <c r="AH7" i="2" s="1"/>
  <c r="Y22" i="2"/>
  <c r="Y30" i="2" s="1"/>
  <c r="AD21" i="2"/>
  <c r="AD29" i="2" s="1"/>
  <c r="AA21" i="2"/>
  <c r="AA29" i="2" s="1"/>
  <c r="Z21" i="2"/>
  <c r="Z29" i="2" s="1"/>
  <c r="Z37" i="2" s="1"/>
  <c r="AH6" i="2" s="1"/>
  <c r="AD20" i="2"/>
  <c r="AD28" i="2" s="1"/>
  <c r="AB20" i="2"/>
  <c r="AB28" i="2" s="1"/>
  <c r="AA20" i="2"/>
  <c r="AA28" i="2" s="1"/>
  <c r="AD24" i="2"/>
  <c r="AD32" i="2" s="1"/>
  <c r="AC24" i="2"/>
  <c r="AC32" i="2" s="1"/>
  <c r="AB24" i="2"/>
  <c r="AB32" i="2" s="1"/>
  <c r="AA24" i="2"/>
  <c r="AA32" i="2" s="1"/>
  <c r="AA40" i="2" s="1"/>
  <c r="AI9" i="2" s="1"/>
  <c r="Z24" i="2"/>
  <c r="Z32" i="2" s="1"/>
  <c r="Z40" i="2" s="1"/>
  <c r="AH9" i="2" s="1"/>
  <c r="Y24" i="2"/>
  <c r="Y32" i="2" s="1"/>
  <c r="AD23" i="2"/>
  <c r="AD31" i="2" s="1"/>
  <c r="AA22" i="2"/>
  <c r="AA30" i="2" s="1"/>
  <c r="AA38" i="2" s="1"/>
  <c r="AI7" i="2" s="1"/>
  <c r="AB21" i="2"/>
  <c r="AB29" i="2" s="1"/>
  <c r="Y10" i="2"/>
  <c r="Y19" i="2" s="1"/>
  <c r="Y27" i="2" s="1"/>
  <c r="Z20" i="2"/>
  <c r="Z28" i="2" s="1"/>
  <c r="Y20" i="2"/>
  <c r="Y28" i="2" s="1"/>
  <c r="AD19" i="2"/>
  <c r="AD27" i="2" s="1"/>
  <c r="AC19" i="2"/>
  <c r="AC27" i="2" s="1"/>
  <c r="AB19" i="2"/>
  <c r="AB27" i="2" s="1"/>
  <c r="Y39" i="2"/>
  <c r="AG8" i="2" s="1"/>
  <c r="AC40" i="2"/>
  <c r="AK9" i="2" s="1"/>
  <c r="AB40" i="2"/>
  <c r="AJ9" i="2" s="1"/>
  <c r="Z36" i="2" l="1"/>
  <c r="AH5" i="2" s="1"/>
  <c r="AB38" i="2"/>
  <c r="AJ7" i="2" s="1"/>
  <c r="Y38" i="2"/>
  <c r="AG7" i="2" s="1"/>
  <c r="Y40" i="2"/>
  <c r="AG9" i="2" s="1"/>
  <c r="AD40" i="2"/>
  <c r="AL9" i="2" s="1"/>
  <c r="AD39" i="2"/>
  <c r="AL8" i="2" s="1"/>
  <c r="AB39" i="2"/>
  <c r="AJ8" i="2" s="1"/>
  <c r="AA39" i="2"/>
  <c r="AI8" i="2" s="1"/>
  <c r="Z39" i="2"/>
  <c r="AH8" i="2" s="1"/>
  <c r="Y37" i="2"/>
  <c r="AG6" i="2" s="1"/>
  <c r="AA37" i="2"/>
  <c r="AI6" i="2" s="1"/>
  <c r="AD37" i="2"/>
  <c r="AL6" i="2" s="1"/>
  <c r="AC37" i="2"/>
  <c r="AK6" i="2" s="1"/>
  <c r="AB37" i="2"/>
  <c r="AJ6" i="2" s="1"/>
  <c r="AD36" i="2"/>
  <c r="AL5" i="2" s="1"/>
  <c r="AC36" i="2"/>
  <c r="AK5" i="2" s="1"/>
  <c r="AB36" i="2"/>
  <c r="AJ5" i="2" s="1"/>
  <c r="AD35" i="2"/>
  <c r="AL4" i="2" s="1"/>
  <c r="AA35" i="2"/>
  <c r="AI4" i="2" s="1"/>
  <c r="Z35" i="2"/>
  <c r="AH4" i="2" s="1"/>
  <c r="AA36" i="2"/>
  <c r="AI5" i="2" s="1"/>
  <c r="Y36" i="2"/>
  <c r="AG5" i="2" s="1"/>
  <c r="Y35" i="2"/>
  <c r="AG4" i="2" s="1"/>
  <c r="AC35" i="2"/>
  <c r="AK4" i="2" s="1"/>
  <c r="AB35" i="2"/>
  <c r="AJ4" i="2" s="1"/>
  <c r="AG13" i="2" l="1" a="1"/>
  <c r="AG1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<sst xmlns="http://schemas.openxmlformats.org/spreadsheetml/2006/main" count="107" uniqueCount="68">
  <si>
    <t>the</t>
  </si>
  <si>
    <t>cat</t>
  </si>
  <si>
    <t>sat</t>
  </si>
  <si>
    <t>X</t>
  </si>
  <si>
    <t>dim_0</t>
  </si>
  <si>
    <t>dim_1</t>
  </si>
  <si>
    <t>WQ</t>
  </si>
  <si>
    <t>WK</t>
  </si>
  <si>
    <t>WV</t>
  </si>
  <si>
    <t>Q = X@WQ</t>
  </si>
  <si>
    <t>Κ = X@WK</t>
  </si>
  <si>
    <t>V = X@WV</t>
  </si>
  <si>
    <t>Q@K^T</t>
  </si>
  <si>
    <t>K^T</t>
  </si>
  <si>
    <t>q = "the"</t>
  </si>
  <si>
    <t>q = "cat"</t>
  </si>
  <si>
    <t>q = "sat"</t>
  </si>
  <si>
    <t>scale by sqrt(d_k)</t>
  </si>
  <si>
    <t>softmax</t>
  </si>
  <si>
    <t>exponents</t>
  </si>
  <si>
    <t>A</t>
  </si>
  <si>
    <t>Z = A@V</t>
  </si>
  <si>
    <t>https://dhnanjay.medium.com/the-easiest-way-to-understand-self-attention-with-code-7f66a25fd9a7</t>
  </si>
  <si>
    <t>you</t>
  </si>
  <si>
    <t>play</t>
  </si>
  <si>
    <t>game</t>
  </si>
  <si>
    <t>of</t>
  </si>
  <si>
    <t>thrones</t>
  </si>
  <si>
    <t>e1</t>
  </si>
  <si>
    <t>e2</t>
  </si>
  <si>
    <t>e3</t>
  </si>
  <si>
    <t>e4</t>
  </si>
  <si>
    <t>e5</t>
  </si>
  <si>
    <t>e6</t>
  </si>
  <si>
    <t>p1</t>
  </si>
  <si>
    <t>p2</t>
  </si>
  <si>
    <t>p3</t>
  </si>
  <si>
    <t>p4</t>
  </si>
  <si>
    <t>p5</t>
  </si>
  <si>
    <t>p6</t>
  </si>
  <si>
    <t>position in sentence</t>
  </si>
  <si>
    <t>e1+p1</t>
  </si>
  <si>
    <t>e2+p2</t>
  </si>
  <si>
    <t>e3+p3</t>
  </si>
  <si>
    <t>e4+p4</t>
  </si>
  <si>
    <t>e5+p5</t>
  </si>
  <si>
    <t>e6+p6</t>
  </si>
  <si>
    <t>Positional Encoding Dimension = Embedding Dimension = 5</t>
  </si>
  <si>
    <t>tokenized (integer)</t>
  </si>
  <si>
    <t>Q = X @ WQ</t>
  </si>
  <si>
    <t>K = X @ WK</t>
  </si>
  <si>
    <t>V = V @ WV</t>
  </si>
  <si>
    <t>dim_2</t>
  </si>
  <si>
    <t>dim_3</t>
  </si>
  <si>
    <t>dim_4</t>
  </si>
  <si>
    <t>when</t>
  </si>
  <si>
    <t>Q @ K^T</t>
  </si>
  <si>
    <t>scale(d_k) - embedding dim</t>
  </si>
  <si>
    <t>exponent</t>
  </si>
  <si>
    <t>Z = A @ V</t>
  </si>
  <si>
    <t>i = 0 -&gt; even -&gt; sin</t>
  </si>
  <si>
    <t>i = 1 -&gt; odd -&gt; cos</t>
  </si>
  <si>
    <t>i = 2 -&gt; even -&gt; sin</t>
  </si>
  <si>
    <t>i = 3 -&gt; odd -&gt; cos</t>
  </si>
  <si>
    <t>i = 4 -&gt; even -&gt; sin</t>
  </si>
  <si>
    <t>i = 5 -&gt; odd -&gt; cos</t>
  </si>
  <si>
    <t>dim_5</t>
  </si>
  <si>
    <t>https://levelup.gitconnected.com/understanding-transformers-from-start-to-end-a-step-by-step-math-example-16d4e64e6eb1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</si>
</sst>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@WV" TargetMode="External"/><Relationship Id="rId2" Type="http://schemas.openxmlformats.org/officeDocument/2006/relationships/hyperlink" Target="mailto:X@WK" TargetMode="External"/><Relationship Id="rId1" Type="http://schemas.openxmlformats.org/officeDocument/2006/relationships/hyperlink" Target="mailto:X@WQ" TargetMode="External"/><Relationship Id="rId5" Type="http://schemas.openxmlformats.org/officeDocument/2006/relationships/hyperlink" Target="mailto:A@V" TargetMode="External"/><Relationship Id="rId4" Type="http://schemas.openxmlformats.org/officeDocument/2006/relationships/hyperlink" Target="mailto:Q@K%5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D581-3F22-4348-91A7-9E26DB8132A9}">
  <dimension ref="A1:R25"/>
  <sheetViews>
    <sheetView workbookViewId="0">
      <selection activeCell="R3" sqref="R3"/>
    </sheetView>
  </sheetViews>
  <sheetFormatPr baseColWidth="10" defaultRowHeight="16" x14ac:dyDescent="0.2"/>
  <cols>
    <col min="2" max="4" width="10.83203125" style="1"/>
    <col min="7" max="8" width="10.83203125" style="1"/>
    <col min="10" max="10" width="10.83203125" style="1"/>
    <col min="11" max="13" width="10.83203125" style="2"/>
    <col min="15" max="18" width="10.83203125" style="1"/>
  </cols>
  <sheetData>
    <row r="1" spans="1:18" x14ac:dyDescent="0.2">
      <c r="A1" s="5" t="s">
        <v>22</v>
      </c>
    </row>
    <row r="2" spans="1:18" x14ac:dyDescent="0.2">
      <c r="A2" s="5"/>
    </row>
    <row r="3" spans="1:18" x14ac:dyDescent="0.2">
      <c r="B3" s="7" t="s">
        <v>3</v>
      </c>
      <c r="C3" s="1" t="s">
        <v>4</v>
      </c>
      <c r="D3" s="1" t="s">
        <v>5</v>
      </c>
      <c r="F3" s="8" t="s">
        <v>9</v>
      </c>
      <c r="G3" s="1" cm="1">
        <f t="array" ref="G3:H5">MMULT(C4:D6,C10:D11)</f>
        <v>0.1</v>
      </c>
      <c r="H3" s="1">
        <v>0.2</v>
      </c>
      <c r="J3" s="7" t="s">
        <v>13</v>
      </c>
      <c r="K3" s="2" cm="1">
        <f t="array" ref="K3:M4">TRANSPOSE(_xlfn.ANCHORARRAY(G9))</f>
        <v>0.1</v>
      </c>
      <c r="L3" s="2">
        <v>0.3</v>
      </c>
      <c r="M3" s="2">
        <v>0.5</v>
      </c>
      <c r="O3" s="7" t="s">
        <v>20</v>
      </c>
      <c r="P3" s="9">
        <f>K23</f>
        <v>0.31317959105526405</v>
      </c>
      <c r="Q3" s="9">
        <f t="shared" ref="Q3:R3" si="0">L23</f>
        <v>0.35069394247377528</v>
      </c>
      <c r="R3" s="9">
        <f t="shared" si="0"/>
        <v>0.33612646647096062</v>
      </c>
    </row>
    <row r="4" spans="1:18" x14ac:dyDescent="0.2">
      <c r="B4" s="1" t="s">
        <v>0</v>
      </c>
      <c r="C4" s="1">
        <v>0.1</v>
      </c>
      <c r="D4" s="1">
        <v>0.2</v>
      </c>
      <c r="G4" s="1">
        <v>0.3</v>
      </c>
      <c r="H4" s="1">
        <v>0.7</v>
      </c>
      <c r="K4" s="2">
        <v>0.30000000000000004</v>
      </c>
      <c r="L4" s="2">
        <v>1</v>
      </c>
      <c r="M4" s="2">
        <v>0.6</v>
      </c>
      <c r="P4" s="9">
        <f t="shared" ref="P4:R4" si="1">K24</f>
        <v>0.26750933791445497</v>
      </c>
      <c r="Q4" s="9">
        <f t="shared" si="1"/>
        <v>0.39467522182833764</v>
      </c>
      <c r="R4" s="9">
        <f t="shared" si="1"/>
        <v>0.33781544025720733</v>
      </c>
    </row>
    <row r="5" spans="1:18" x14ac:dyDescent="0.2">
      <c r="B5" s="1" t="s">
        <v>1</v>
      </c>
      <c r="C5" s="1">
        <v>0.3</v>
      </c>
      <c r="D5" s="1">
        <v>0.7</v>
      </c>
      <c r="G5" s="1">
        <v>0.5</v>
      </c>
      <c r="H5" s="1">
        <v>0.1</v>
      </c>
      <c r="P5" s="9">
        <f t="shared" ref="P5:R5" si="2">K25</f>
        <v>0.30263246063346699</v>
      </c>
      <c r="Q5" s="9">
        <f t="shared" si="2"/>
        <v>0.34128817924757132</v>
      </c>
      <c r="R5" s="9">
        <f t="shared" si="2"/>
        <v>0.35607936011896169</v>
      </c>
    </row>
    <row r="6" spans="1:18" x14ac:dyDescent="0.2">
      <c r="B6" s="1" t="s">
        <v>2</v>
      </c>
      <c r="C6" s="1">
        <v>0.5</v>
      </c>
      <c r="D6" s="1">
        <v>0.1</v>
      </c>
    </row>
    <row r="9" spans="1:18" x14ac:dyDescent="0.2">
      <c r="B9" s="7" t="s">
        <v>6</v>
      </c>
      <c r="C9" s="1" t="s">
        <v>4</v>
      </c>
      <c r="D9" s="1" t="s">
        <v>5</v>
      </c>
      <c r="F9" s="8" t="s">
        <v>10</v>
      </c>
      <c r="G9" s="1" cm="1">
        <f t="array" ref="G9:H11">MMULT(C4:D6,C15:D16)</f>
        <v>0.1</v>
      </c>
      <c r="H9" s="1">
        <v>0.30000000000000004</v>
      </c>
      <c r="J9" s="7" t="s">
        <v>12</v>
      </c>
      <c r="K9" s="1" t="s">
        <v>0</v>
      </c>
      <c r="L9" s="1" t="s">
        <v>1</v>
      </c>
      <c r="M9" s="1" t="s">
        <v>2</v>
      </c>
      <c r="O9" s="7" t="s">
        <v>21</v>
      </c>
      <c r="P9" s="1" t="s">
        <v>4</v>
      </c>
      <c r="Q9" s="1" t="s">
        <v>5</v>
      </c>
    </row>
    <row r="10" spans="1:18" x14ac:dyDescent="0.2">
      <c r="C10" s="1">
        <v>1</v>
      </c>
      <c r="D10" s="1">
        <v>0</v>
      </c>
      <c r="G10" s="1">
        <v>0.3</v>
      </c>
      <c r="H10" s="1">
        <v>1</v>
      </c>
      <c r="J10" s="1" t="s">
        <v>14</v>
      </c>
      <c r="K10" s="2" cm="1">
        <f t="array" ref="K10:M12">MMULT(_xlfn.ANCHORARRAY(G3),_xlfn.ANCHORARRAY(K3))</f>
        <v>7.0000000000000007E-2</v>
      </c>
      <c r="L10" s="2">
        <v>0.23</v>
      </c>
      <c r="M10" s="2">
        <v>0.16999999999999998</v>
      </c>
      <c r="O10" s="1" t="s">
        <v>0</v>
      </c>
      <c r="P10" s="6" cm="1">
        <f t="array" ref="P10:Q12">MMULT(P3:R5,_xlfn.ANCHORARRAY(G14))</f>
        <v>0.64632369967293091</v>
      </c>
      <c r="Q10" s="6">
        <v>0.34173432458979158</v>
      </c>
    </row>
    <row r="11" spans="1:18" x14ac:dyDescent="0.2">
      <c r="C11" s="1">
        <v>0</v>
      </c>
      <c r="D11" s="1">
        <v>1</v>
      </c>
      <c r="G11" s="1">
        <v>0.5</v>
      </c>
      <c r="H11" s="1">
        <v>0.6</v>
      </c>
      <c r="J11" s="1" t="s">
        <v>15</v>
      </c>
      <c r="K11" s="2">
        <v>0.24000000000000002</v>
      </c>
      <c r="L11" s="2">
        <v>0.78999999999999992</v>
      </c>
      <c r="M11" s="2">
        <v>0.56999999999999995</v>
      </c>
      <c r="O11" s="1" t="s">
        <v>1</v>
      </c>
      <c r="P11" s="6">
        <v>0.67761728735699855</v>
      </c>
      <c r="Q11" s="6">
        <v>0.3635560668884481</v>
      </c>
    </row>
    <row r="12" spans="1:18" x14ac:dyDescent="0.2">
      <c r="J12" s="1" t="s">
        <v>16</v>
      </c>
      <c r="K12" s="2">
        <v>8.0000000000000016E-2</v>
      </c>
      <c r="L12" s="2">
        <v>0.25</v>
      </c>
      <c r="M12" s="2">
        <v>0.31</v>
      </c>
      <c r="O12" s="1" t="s">
        <v>2</v>
      </c>
      <c r="P12" s="6">
        <v>0.64572553350898843</v>
      </c>
      <c r="Q12" s="6">
        <v>0.33503615361188949</v>
      </c>
    </row>
    <row r="14" spans="1:18" x14ac:dyDescent="0.2">
      <c r="B14" s="7" t="s">
        <v>7</v>
      </c>
      <c r="C14" s="1" t="s">
        <v>4</v>
      </c>
      <c r="D14" s="1" t="s">
        <v>5</v>
      </c>
      <c r="F14" s="8" t="s">
        <v>11</v>
      </c>
      <c r="G14" s="1" cm="1">
        <f t="array" ref="G14:H16">MMULT(C4:D6,C20:D21)</f>
        <v>0.30000000000000004</v>
      </c>
      <c r="H14" s="1">
        <v>0.2</v>
      </c>
      <c r="J14" s="7" t="s">
        <v>17</v>
      </c>
      <c r="K14" s="4">
        <f t="shared" ref="K14:M16" si="3">K10/$J$15</f>
        <v>4.9497474683058325E-2</v>
      </c>
      <c r="L14" s="4">
        <f t="shared" si="3"/>
        <v>0.16263455967290594</v>
      </c>
      <c r="M14" s="4">
        <f t="shared" si="3"/>
        <v>0.12020815280171306</v>
      </c>
    </row>
    <row r="15" spans="1:18" x14ac:dyDescent="0.2">
      <c r="C15" s="1">
        <v>1</v>
      </c>
      <c r="D15" s="1">
        <v>1</v>
      </c>
      <c r="G15" s="1">
        <v>1</v>
      </c>
      <c r="H15" s="1">
        <v>0.7</v>
      </c>
      <c r="J15" s="3">
        <f>SQRT(2)</f>
        <v>1.4142135623730951</v>
      </c>
      <c r="K15" s="4">
        <f t="shared" si="3"/>
        <v>0.16970562748477142</v>
      </c>
      <c r="L15" s="4">
        <f t="shared" si="3"/>
        <v>0.55861435713737251</v>
      </c>
      <c r="M15" s="4">
        <f t="shared" si="3"/>
        <v>0.40305086527633205</v>
      </c>
    </row>
    <row r="16" spans="1:18" x14ac:dyDescent="0.2">
      <c r="C16" s="1">
        <v>0</v>
      </c>
      <c r="D16" s="1">
        <v>1</v>
      </c>
      <c r="G16" s="1">
        <v>0.6</v>
      </c>
      <c r="H16" s="1">
        <v>0.1</v>
      </c>
      <c r="K16" s="4">
        <f t="shared" si="3"/>
        <v>5.656854249492381E-2</v>
      </c>
      <c r="L16" s="4">
        <f t="shared" si="3"/>
        <v>0.17677669529663687</v>
      </c>
      <c r="M16" s="4">
        <f t="shared" si="3"/>
        <v>0.21920310216782971</v>
      </c>
    </row>
    <row r="19" spans="2:13" x14ac:dyDescent="0.2">
      <c r="B19" s="7" t="s">
        <v>8</v>
      </c>
      <c r="C19" s="1" t="s">
        <v>4</v>
      </c>
      <c r="D19" s="1" t="s">
        <v>5</v>
      </c>
      <c r="J19" s="7" t="s">
        <v>19</v>
      </c>
      <c r="K19" s="4">
        <f>EXP(K14)</f>
        <v>1.0507429387525293</v>
      </c>
      <c r="L19" s="4">
        <f t="shared" ref="L19:M19" si="4">EXP(L14)</f>
        <v>1.1766066316006558</v>
      </c>
      <c r="M19" s="4">
        <f t="shared" si="4"/>
        <v>1.1277315676355095</v>
      </c>
    </row>
    <row r="20" spans="2:13" x14ac:dyDescent="0.2">
      <c r="C20" s="1">
        <v>1</v>
      </c>
      <c r="D20" s="1">
        <v>0</v>
      </c>
      <c r="K20" s="4">
        <f t="shared" ref="K20:M20" si="5">EXP(K15)</f>
        <v>1.184955981501332</v>
      </c>
      <c r="L20" s="4">
        <f t="shared" si="5"/>
        <v>1.748248373316253</v>
      </c>
      <c r="M20" s="4">
        <f t="shared" si="5"/>
        <v>1.4963830036628172</v>
      </c>
    </row>
    <row r="21" spans="2:13" x14ac:dyDescent="0.2">
      <c r="C21" s="1">
        <v>1</v>
      </c>
      <c r="D21" s="1">
        <v>1</v>
      </c>
      <c r="K21" s="4">
        <f t="shared" ref="K21:M21" si="6">EXP(K16)</f>
        <v>1.0581991439239848</v>
      </c>
      <c r="L21" s="4">
        <f t="shared" si="6"/>
        <v>1.1933645794479495</v>
      </c>
      <c r="M21" s="4">
        <f t="shared" si="6"/>
        <v>1.2450841302950975</v>
      </c>
    </row>
    <row r="23" spans="2:13" x14ac:dyDescent="0.2">
      <c r="J23" s="7" t="s">
        <v>18</v>
      </c>
      <c r="K23" s="4">
        <f>K19/SUM($K$19:$M$19)</f>
        <v>0.31317959105526405</v>
      </c>
      <c r="L23" s="4">
        <f>L19/SUM($K$19:$M$19)</f>
        <v>0.35069394247377528</v>
      </c>
      <c r="M23" s="4">
        <f>M19/SUM($K$19:$M$19)</f>
        <v>0.33612646647096062</v>
      </c>
    </row>
    <row r="24" spans="2:13" x14ac:dyDescent="0.2">
      <c r="K24" s="4">
        <f>K20/SUM($K$20:$M$20)</f>
        <v>0.26750933791445497</v>
      </c>
      <c r="L24" s="4">
        <f>L20/SUM($K$20:$M$20)</f>
        <v>0.39467522182833764</v>
      </c>
      <c r="M24" s="4">
        <f>M20/SUM($K$20:$M$20)</f>
        <v>0.33781544025720733</v>
      </c>
    </row>
    <row r="25" spans="2:13" x14ac:dyDescent="0.2">
      <c r="K25" s="4">
        <f>K21/SUM($K$21:$M$21)</f>
        <v>0.30263246063346699</v>
      </c>
      <c r="L25" s="4">
        <f>L21/SUM($K$21:$M$21)</f>
        <v>0.34128817924757132</v>
      </c>
      <c r="M25" s="4">
        <f>M21/SUM($K$21:$M$21)</f>
        <v>0.35607936011896169</v>
      </c>
    </row>
  </sheetData>
  <hyperlinks>
    <hyperlink ref="F3" r:id="rId1" display="X@WQ" xr:uid="{0302BBD5-61FE-EC43-BDDF-107C6E0EAF5D}"/>
    <hyperlink ref="F9" r:id="rId2" display="X@WK" xr:uid="{AB8DFDE4-FD7F-C141-8C9A-C52BAE03E0AC}"/>
    <hyperlink ref="F14" r:id="rId3" display="X@WV" xr:uid="{4707F550-FADC-4243-B97A-CDB4ADDC0F56}"/>
    <hyperlink ref="J9" r:id="rId4" xr:uid="{206D658D-CC3A-F840-8871-DEFB5A7F1E27}"/>
    <hyperlink ref="O9" r:id="rId5" display="A@V" xr:uid="{A4CF35FF-72EF-B049-A38D-43CBCF96556A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B02E1-C428-2A45-B27D-65C0233D5EC8}">
  <dimension ref="A1:AM40"/>
  <sheetViews>
    <sheetView tabSelected="1" topLeftCell="Q1" zoomScale="57" workbookViewId="0">
      <selection activeCell="R3" sqref="R3"/>
    </sheetView>
  </sheetViews>
  <sheetFormatPr baseColWidth="10" defaultRowHeight="16" x14ac:dyDescent="0.2"/>
  <cols>
    <col min="1" max="1" width="10.83203125" style="1"/>
    <col min="2" max="2" width="17.6640625" style="5" bestFit="1" customWidth="1"/>
    <col min="3" max="9" width="10.83203125" style="1"/>
    <col min="10" max="10" width="10.83203125" style="7"/>
    <col min="11" max="17" width="10.83203125" style="1"/>
    <col min="18" max="18" width="10.83203125" style="7"/>
    <col min="19" max="22" width="10.83203125" style="11"/>
    <col min="23" max="24" width="10.83203125" style="1"/>
    <col min="25" max="25" width="13.83203125" style="11" bestFit="1" customWidth="1"/>
    <col min="26" max="27" width="12.6640625" style="11" bestFit="1" customWidth="1"/>
    <col min="28" max="28" width="11.6640625" style="11" bestFit="1" customWidth="1"/>
    <col min="29" max="29" width="12.6640625" style="11" bestFit="1" customWidth="1"/>
    <col min="30" max="30" width="11" style="11" bestFit="1" customWidth="1"/>
    <col min="31" max="16384" width="10.83203125" style="1"/>
  </cols>
  <sheetData>
    <row r="1" spans="1:39" x14ac:dyDescent="0.2">
      <c r="A1" s="1" t="s">
        <v>67</v>
      </c>
    </row>
    <row r="3" spans="1:39" x14ac:dyDescent="0.2">
      <c r="C3" s="7" t="s">
        <v>55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  <c r="J3" s="7" t="s">
        <v>3</v>
      </c>
      <c r="K3" s="7" t="s">
        <v>4</v>
      </c>
      <c r="L3" s="7" t="s">
        <v>5</v>
      </c>
      <c r="M3" s="7" t="s">
        <v>52</v>
      </c>
      <c r="N3" s="7" t="s">
        <v>53</v>
      </c>
      <c r="O3" s="7" t="s">
        <v>54</v>
      </c>
      <c r="P3" s="7" t="s">
        <v>66</v>
      </c>
      <c r="R3" s="7" t="s">
        <v>49</v>
      </c>
      <c r="X3" s="7" t="s">
        <v>13</v>
      </c>
      <c r="AF3" s="7" t="s">
        <v>20</v>
      </c>
    </row>
    <row r="4" spans="1:39" x14ac:dyDescent="0.2">
      <c r="B4" s="5" t="s">
        <v>48</v>
      </c>
      <c r="C4" s="1">
        <v>5</v>
      </c>
      <c r="D4" s="1">
        <v>17</v>
      </c>
      <c r="E4" s="1">
        <v>7</v>
      </c>
      <c r="F4" s="1">
        <v>12</v>
      </c>
      <c r="G4" s="1">
        <v>15</v>
      </c>
      <c r="H4" s="1">
        <v>19</v>
      </c>
      <c r="J4" s="7" t="s">
        <v>55</v>
      </c>
      <c r="K4" s="11" cm="1">
        <f t="array" ref="K4:P9">TRANSPOSE(C25:H30)</f>
        <v>0.79</v>
      </c>
      <c r="L4" s="11">
        <v>1.6</v>
      </c>
      <c r="M4" s="11">
        <v>0.96</v>
      </c>
      <c r="N4" s="11">
        <v>1.6400000000000001</v>
      </c>
      <c r="O4" s="11">
        <v>0.2</v>
      </c>
      <c r="P4" s="11">
        <v>1.2</v>
      </c>
      <c r="S4" s="11" cm="1">
        <f t="array" ref="S4:V9">MMULT(_xlfn.ANCHORARRAY(K4),K13:N18)</f>
        <v>3.7005685508975596</v>
      </c>
      <c r="T4" s="11">
        <v>2.4261978428749735</v>
      </c>
      <c r="U4" s="11">
        <v>2.5321276509841195</v>
      </c>
      <c r="V4" s="11">
        <v>4.8576588050128695</v>
      </c>
      <c r="Y4" s="11" cm="1">
        <f t="array" ref="Y4:AD7">TRANSPOSE(_xlfn.ANCHORARRAY(S13))</f>
        <v>4.0128460653753342</v>
      </c>
      <c r="Z4" s="11">
        <v>4.1877392570834191</v>
      </c>
      <c r="AA4" s="11">
        <v>4.0020914605888702</v>
      </c>
      <c r="AB4" s="11">
        <v>3.4092869406296287</v>
      </c>
      <c r="AC4" s="11">
        <v>3.6976610635406342</v>
      </c>
      <c r="AD4" s="11">
        <v>2.6021168205404468</v>
      </c>
      <c r="AG4" s="11">
        <f>Y35</f>
        <v>0.12382492224100951</v>
      </c>
      <c r="AH4" s="11">
        <f t="shared" ref="AH4:AL4" si="0">Z35</f>
        <v>0.6314900544281149</v>
      </c>
      <c r="AI4" s="11">
        <f t="shared" si="0"/>
        <v>0.14003965225464463</v>
      </c>
      <c r="AJ4" s="11">
        <f t="shared" si="0"/>
        <v>1.0542132316411783E-2</v>
      </c>
      <c r="AK4" s="11">
        <f t="shared" si="0"/>
        <v>9.3519522414747383E-2</v>
      </c>
      <c r="AL4" s="11">
        <f t="shared" si="0"/>
        <v>5.8371634507182991E-4</v>
      </c>
      <c r="AM4" s="11"/>
    </row>
    <row r="5" spans="1:39" x14ac:dyDescent="0.2">
      <c r="B5" s="5" t="s">
        <v>40</v>
      </c>
      <c r="C5" s="1">
        <v>0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J5" s="7" t="s">
        <v>23</v>
      </c>
      <c r="K5" s="11">
        <v>1.2214709848078966</v>
      </c>
      <c r="L5" s="11">
        <v>1.1189229760406305</v>
      </c>
      <c r="M5" s="11">
        <v>6.2154433023365603E-2</v>
      </c>
      <c r="N5" s="11">
        <v>1.7899999950000001</v>
      </c>
      <c r="O5" s="11">
        <v>0.74000464158883361</v>
      </c>
      <c r="P5" s="11">
        <v>1.7399999999999767</v>
      </c>
      <c r="S5" s="11">
        <v>3.7141074010239219</v>
      </c>
      <c r="T5" s="11">
        <v>2.3558780210956893</v>
      </c>
      <c r="U5" s="11">
        <v>2.9289262595018424</v>
      </c>
      <c r="V5" s="11">
        <v>5.1288785268907464</v>
      </c>
      <c r="Y5" s="11">
        <v>2.8674774086145303</v>
      </c>
      <c r="Z5" s="11">
        <v>3.0186819852494389</v>
      </c>
      <c r="AA5" s="11">
        <v>3.0431311297510844</v>
      </c>
      <c r="AB5" s="11">
        <v>2.8072006260862592</v>
      </c>
      <c r="AC5" s="11">
        <v>3.2509872547680296</v>
      </c>
      <c r="AD5" s="11">
        <v>2.3238127280557541</v>
      </c>
      <c r="AG5" s="11">
        <f t="shared" ref="AG5:AG9" si="1">Y36</f>
        <v>0.12023432248248282</v>
      </c>
      <c r="AH5" s="11">
        <f t="shared" ref="AH5:AH9" si="2">Z36</f>
        <v>0.64925241971327829</v>
      </c>
      <c r="AI5" s="11">
        <f t="shared" ref="AI5:AI9" si="3">AA36</f>
        <v>0.13199168108574783</v>
      </c>
      <c r="AJ5" s="11">
        <f t="shared" ref="AJ5:AJ9" si="4">AB36</f>
        <v>9.0299898988828384E-3</v>
      </c>
      <c r="AK5" s="11">
        <f t="shared" ref="AK5:AK9" si="5">AC36</f>
        <v>8.9033509639946773E-2</v>
      </c>
      <c r="AL5" s="11">
        <f t="shared" ref="AL5:AL9" si="6">AD36</f>
        <v>4.5807717966150528E-4</v>
      </c>
      <c r="AM5" s="11"/>
    </row>
    <row r="6" spans="1:39" x14ac:dyDescent="0.2">
      <c r="J6" s="7" t="s">
        <v>24</v>
      </c>
      <c r="K6" s="11">
        <v>0.91929742682568172</v>
      </c>
      <c r="L6" s="11">
        <v>1.5056942241237399</v>
      </c>
      <c r="M6" s="11">
        <v>0.27430885604674282</v>
      </c>
      <c r="N6" s="11">
        <v>1.3099999800000002</v>
      </c>
      <c r="O6" s="11">
        <v>0.5900092831776671</v>
      </c>
      <c r="P6" s="11">
        <v>1.589999999999907</v>
      </c>
      <c r="S6" s="11">
        <v>3.4473535819733554</v>
      </c>
      <c r="T6" s="11">
        <v>2.1816387912570199</v>
      </c>
      <c r="U6" s="11">
        <v>2.4031087283938461</v>
      </c>
      <c r="V6" s="11">
        <v>4.7214795466713317</v>
      </c>
      <c r="Y6" s="11">
        <v>1.7480068648472833</v>
      </c>
      <c r="Z6" s="11">
        <v>1.6778976561104439</v>
      </c>
      <c r="AA6" s="11">
        <v>1.5301005496973312</v>
      </c>
      <c r="AB6" s="11">
        <v>1.3596524526316336</v>
      </c>
      <c r="AC6" s="11">
        <v>1.7798076422780289</v>
      </c>
      <c r="AD6" s="11">
        <v>1.0698815207905459</v>
      </c>
      <c r="AG6" s="11">
        <f t="shared" si="1"/>
        <v>0.12899844921570844</v>
      </c>
      <c r="AH6" s="11">
        <f t="shared" si="2"/>
        <v>0.6161136719607494</v>
      </c>
      <c r="AI6" s="11">
        <f t="shared" si="3"/>
        <v>0.14439701036662941</v>
      </c>
      <c r="AJ6" s="11">
        <f t="shared" si="4"/>
        <v>1.2375870694561605E-2</v>
      </c>
      <c r="AK6" s="11">
        <f t="shared" si="5"/>
        <v>9.7301074239809313E-2</v>
      </c>
      <c r="AL6" s="11">
        <f t="shared" si="6"/>
        <v>8.1392352254181389E-4</v>
      </c>
      <c r="AM6" s="11"/>
    </row>
    <row r="7" spans="1:39" x14ac:dyDescent="0.2">
      <c r="C7" s="7" t="s">
        <v>28</v>
      </c>
      <c r="D7" s="7" t="s">
        <v>29</v>
      </c>
      <c r="E7" s="7" t="s">
        <v>30</v>
      </c>
      <c r="F7" s="7" t="s">
        <v>31</v>
      </c>
      <c r="G7" s="7" t="s">
        <v>32</v>
      </c>
      <c r="H7" s="7" t="s">
        <v>33</v>
      </c>
      <c r="J7" s="7" t="s">
        <v>25</v>
      </c>
      <c r="K7" s="11">
        <v>0.26112000805986724</v>
      </c>
      <c r="L7" s="11">
        <v>1.5903206991356749</v>
      </c>
      <c r="M7" s="11">
        <v>0.65646325907018965</v>
      </c>
      <c r="N7" s="11">
        <v>1.2199999550000005</v>
      </c>
      <c r="O7" s="11">
        <v>0.37001392476650036</v>
      </c>
      <c r="P7" s="11">
        <v>1.3699999999997912</v>
      </c>
      <c r="S7" s="11">
        <v>3.2631236593822566</v>
      </c>
      <c r="T7" s="11">
        <v>2.1886827435383047</v>
      </c>
      <c r="U7" s="11">
        <v>1.8382356278364982</v>
      </c>
      <c r="V7" s="11">
        <v>4.1179903329632799</v>
      </c>
      <c r="Y7" s="11">
        <v>2.7278743949340636</v>
      </c>
      <c r="Z7" s="11">
        <v>3.3772017746481202</v>
      </c>
      <c r="AA7" s="11">
        <v>2.8239743609386219</v>
      </c>
      <c r="AB7" s="11">
        <v>2.1779855607731524</v>
      </c>
      <c r="AC7" s="11">
        <v>2.6183157258176988</v>
      </c>
      <c r="AD7" s="11">
        <v>1.7262005736620247</v>
      </c>
      <c r="AG7" s="11">
        <f t="shared" si="1"/>
        <v>0.13966671366387773</v>
      </c>
      <c r="AH7" s="11">
        <f t="shared" si="2"/>
        <v>0.57041356464419812</v>
      </c>
      <c r="AI7" s="11">
        <f t="shared" si="3"/>
        <v>0.16076017634512269</v>
      </c>
      <c r="AJ7" s="11">
        <f t="shared" si="4"/>
        <v>1.7557204080168368E-2</v>
      </c>
      <c r="AK7" s="11">
        <f t="shared" si="5"/>
        <v>0.11013818855522151</v>
      </c>
      <c r="AL7" s="11">
        <f t="shared" si="6"/>
        <v>1.4641527114115545E-3</v>
      </c>
      <c r="AM7" s="11"/>
    </row>
    <row r="8" spans="1:39" x14ac:dyDescent="0.2">
      <c r="C8" s="1">
        <v>0.79</v>
      </c>
      <c r="D8" s="1">
        <v>0.38</v>
      </c>
      <c r="E8" s="1">
        <v>0.01</v>
      </c>
      <c r="F8" s="1">
        <v>0.12</v>
      </c>
      <c r="G8" s="1">
        <v>0.88</v>
      </c>
      <c r="H8" s="1">
        <v>0.6</v>
      </c>
      <c r="J8" s="7" t="s">
        <v>26</v>
      </c>
      <c r="K8" s="11">
        <v>0.12319750469207169</v>
      </c>
      <c r="L8" s="11">
        <v>1.3928139759067526</v>
      </c>
      <c r="M8" s="11">
        <v>0.79861763209385694</v>
      </c>
      <c r="N8" s="11">
        <v>1.619999920000001</v>
      </c>
      <c r="O8" s="11">
        <v>0.70001856635533333</v>
      </c>
      <c r="P8" s="11">
        <v>1.6999999999996285</v>
      </c>
      <c r="S8" s="11">
        <v>3.9642361745288577</v>
      </c>
      <c r="T8" s="11">
        <v>2.8404481419531535</v>
      </c>
      <c r="U8" s="11">
        <v>2.1349581554574719</v>
      </c>
      <c r="V8" s="11">
        <v>4.7168351773601715</v>
      </c>
      <c r="AG8" s="11">
        <f t="shared" si="1"/>
        <v>0.12099647008792039</v>
      </c>
      <c r="AH8" s="11">
        <f t="shared" si="2"/>
        <v>0.62854604716369922</v>
      </c>
      <c r="AI8" s="11">
        <f t="shared" si="3"/>
        <v>0.14506384887924148</v>
      </c>
      <c r="AJ8" s="11">
        <f t="shared" si="4"/>
        <v>1.0503341125669247E-2</v>
      </c>
      <c r="AK8" s="11">
        <f t="shared" si="5"/>
        <v>9.4361787637117972E-2</v>
      </c>
      <c r="AL8" s="11">
        <f t="shared" si="6"/>
        <v>5.2850510635170736E-4</v>
      </c>
      <c r="AM8" s="11"/>
    </row>
    <row r="9" spans="1:39" x14ac:dyDescent="0.2">
      <c r="C9" s="1">
        <v>0.6</v>
      </c>
      <c r="D9" s="1">
        <v>0.12</v>
      </c>
      <c r="E9" s="1">
        <v>0.51</v>
      </c>
      <c r="F9" s="1">
        <v>0.6</v>
      </c>
      <c r="G9" s="1">
        <v>0.41</v>
      </c>
      <c r="H9" s="1">
        <v>0.33</v>
      </c>
      <c r="J9" s="7" t="s">
        <v>27</v>
      </c>
      <c r="K9" s="11">
        <v>-0.35892427466313848</v>
      </c>
      <c r="L9" s="11">
        <v>1.3031902242785207</v>
      </c>
      <c r="M9" s="11">
        <v>0.7607719651180348</v>
      </c>
      <c r="N9" s="11">
        <v>1.4799998750000025</v>
      </c>
      <c r="O9" s="11">
        <v>0.21002320794416598</v>
      </c>
      <c r="P9" s="11">
        <v>1.2099999999994198</v>
      </c>
      <c r="S9" s="11">
        <v>3.0193245769338359</v>
      </c>
      <c r="T9" s="11">
        <v>2.1468221640313985</v>
      </c>
      <c r="U9" s="11">
        <v>1.4657835726427413</v>
      </c>
      <c r="V9" s="11">
        <v>3.4595764657335328</v>
      </c>
      <c r="X9" s="7" t="s">
        <v>56</v>
      </c>
      <c r="AG9" s="11">
        <f t="shared" si="1"/>
        <v>0.15230128774870502</v>
      </c>
      <c r="AH9" s="11">
        <f t="shared" si="2"/>
        <v>0.51754457526520514</v>
      </c>
      <c r="AI9" s="11">
        <f t="shared" si="3"/>
        <v>0.17624691913075533</v>
      </c>
      <c r="AJ9" s="11">
        <f t="shared" si="4"/>
        <v>2.5028803548469307E-2</v>
      </c>
      <c r="AK9" s="11">
        <f t="shared" si="5"/>
        <v>0.12618734859826669</v>
      </c>
      <c r="AL9" s="11">
        <f t="shared" si="6"/>
        <v>2.6910657085985148E-3</v>
      </c>
      <c r="AM9" s="11"/>
    </row>
    <row r="10" spans="1:39" x14ac:dyDescent="0.2">
      <c r="C10" s="1">
        <v>0.96</v>
      </c>
      <c r="D10" s="1">
        <v>0.06</v>
      </c>
      <c r="E10" s="1">
        <v>0.27</v>
      </c>
      <c r="F10" s="1">
        <v>0.65</v>
      </c>
      <c r="G10" s="1">
        <v>0.79</v>
      </c>
      <c r="H10" s="1">
        <v>0.75</v>
      </c>
      <c r="Y10" s="11" cm="1">
        <f t="array" ref="Y10:AD15">MMULT(_xlfn.ANCHORARRAY(S4),_xlfn.ANCHORARRAY(Y4))</f>
        <v>39.484139042504736</v>
      </c>
      <c r="Z10" s="11">
        <v>43.474880902542971</v>
      </c>
      <c r="AA10" s="11">
        <v>39.785565809677315</v>
      </c>
      <c r="AB10" s="11">
        <v>33.449848444525045</v>
      </c>
      <c r="AC10" s="11">
        <v>38.796571092616176</v>
      </c>
      <c r="AD10" s="11">
        <v>26.361711097846086</v>
      </c>
      <c r="AG10" s="11"/>
      <c r="AH10" s="11"/>
      <c r="AI10" s="11"/>
      <c r="AJ10" s="11"/>
      <c r="AK10" s="11"/>
      <c r="AL10" s="11"/>
      <c r="AM10" s="11"/>
    </row>
    <row r="11" spans="1:39" x14ac:dyDescent="0.2">
      <c r="C11" s="1">
        <v>0.64</v>
      </c>
      <c r="D11" s="1">
        <v>0.79</v>
      </c>
      <c r="E11" s="1">
        <v>0.31</v>
      </c>
      <c r="F11" s="1">
        <v>0.22</v>
      </c>
      <c r="G11" s="1">
        <v>0.62</v>
      </c>
      <c r="H11" s="1">
        <v>0.48</v>
      </c>
      <c r="Y11" s="11">
        <v>40.770287889996752</v>
      </c>
      <c r="Z11" s="11">
        <v>44.901056078727137</v>
      </c>
      <c r="AA11" s="11">
        <v>40.998816397235267</v>
      </c>
      <c r="AB11" s="11">
        <v>34.428825261045787</v>
      </c>
      <c r="AC11" s="11">
        <v>40.0343883860414</v>
      </c>
      <c r="AD11" s="11">
        <v>27.126237808827916</v>
      </c>
      <c r="AG11" s="11"/>
      <c r="AH11" s="11"/>
      <c r="AI11" s="11"/>
      <c r="AJ11" s="11"/>
      <c r="AK11" s="11"/>
      <c r="AL11" s="11"/>
      <c r="AM11" s="11"/>
    </row>
    <row r="12" spans="1:39" x14ac:dyDescent="0.2">
      <c r="C12" s="1">
        <v>0.2</v>
      </c>
      <c r="D12" s="1">
        <v>0.74</v>
      </c>
      <c r="E12" s="1">
        <v>0.59</v>
      </c>
      <c r="F12" s="1">
        <v>0.37</v>
      </c>
      <c r="G12" s="1">
        <v>0.7</v>
      </c>
      <c r="H12" s="1">
        <v>0.21</v>
      </c>
      <c r="J12" s="7" t="s">
        <v>6</v>
      </c>
      <c r="R12" s="7" t="s">
        <v>50</v>
      </c>
      <c r="Y12" s="11">
        <v>37.169752920842441</v>
      </c>
      <c r="Z12" s="11">
        <v>40.999851252499695</v>
      </c>
      <c r="AA12" s="11">
        <v>37.445972423386607</v>
      </c>
      <c r="AB12" s="11">
        <v>31.428022282102418</v>
      </c>
      <c r="AC12" s="11">
        <v>36.479020443400884</v>
      </c>
      <c r="AD12" s="11">
        <v>24.761399056103073</v>
      </c>
      <c r="AF12" s="7" t="s">
        <v>59</v>
      </c>
      <c r="AG12" s="12" t="s">
        <v>4</v>
      </c>
      <c r="AH12" s="12" t="s">
        <v>5</v>
      </c>
      <c r="AI12" s="12" t="s">
        <v>52</v>
      </c>
      <c r="AJ12" s="11" t="s">
        <v>53</v>
      </c>
      <c r="AK12" s="11"/>
      <c r="AL12" s="11"/>
      <c r="AM12" s="11"/>
    </row>
    <row r="13" spans="1:39" x14ac:dyDescent="0.2">
      <c r="C13" s="1">
        <v>0.2</v>
      </c>
      <c r="D13" s="1">
        <v>0.74</v>
      </c>
      <c r="E13" s="1">
        <v>0.59</v>
      </c>
      <c r="F13" s="1">
        <v>0.37</v>
      </c>
      <c r="G13" s="1">
        <v>0.7</v>
      </c>
      <c r="H13" s="1">
        <v>0.21</v>
      </c>
      <c r="K13" s="11">
        <v>0.28740830480981083</v>
      </c>
      <c r="L13" s="11">
        <v>4.3296762314939508E-2</v>
      </c>
      <c r="M13" s="11">
        <v>0.74255385507069016</v>
      </c>
      <c r="N13" s="11">
        <v>0.75287198856877591</v>
      </c>
      <c r="S13" s="11" cm="1">
        <f t="array" ref="S13:V18">MMULT(_xlfn.ANCHORARRAY(K4),K21:N26)</f>
        <v>4.0128460653753342</v>
      </c>
      <c r="T13" s="11">
        <v>2.8674774086145303</v>
      </c>
      <c r="U13" s="11">
        <v>1.7480068648472833</v>
      </c>
      <c r="V13" s="11">
        <v>2.7278743949340636</v>
      </c>
      <c r="Y13" s="11">
        <v>33.817020143647397</v>
      </c>
      <c r="Z13" s="11">
        <v>37.263703730251137</v>
      </c>
      <c r="AA13" s="11">
        <v>34.161552385576904</v>
      </c>
      <c r="AB13" s="11">
        <v>28.737281510056611</v>
      </c>
      <c r="AC13" s="11">
        <v>33.235209671083922</v>
      </c>
      <c r="AD13" s="11">
        <v>22.652289382869327</v>
      </c>
      <c r="AF13" s="7" t="s">
        <v>55</v>
      </c>
      <c r="AG13" s="11" cm="1">
        <f t="array" ref="AG13:AJ18">MMULT(AG4:AL9,_xlfn.ANCHORARRAY(S22))</f>
        <v>3.2202047662100912</v>
      </c>
      <c r="AH13" s="11">
        <v>4.2115742957002462</v>
      </c>
      <c r="AI13" s="11">
        <v>4.4311981448855429</v>
      </c>
      <c r="AJ13" s="11">
        <v>3.7315372803138178</v>
      </c>
      <c r="AK13" s="11"/>
      <c r="AL13" s="11"/>
      <c r="AM13" s="11"/>
    </row>
    <row r="14" spans="1:39" x14ac:dyDescent="0.2">
      <c r="K14" s="11">
        <v>0.33047075719043351</v>
      </c>
      <c r="L14" s="11">
        <v>3.6326186490087342E-2</v>
      </c>
      <c r="M14" s="11">
        <v>0.22782068613494366</v>
      </c>
      <c r="N14" s="11">
        <v>0.98600850908451243</v>
      </c>
      <c r="S14" s="11">
        <v>4.1877392570834191</v>
      </c>
      <c r="T14" s="11">
        <v>3.0186819852494389</v>
      </c>
      <c r="U14" s="11">
        <v>1.6778976561104439</v>
      </c>
      <c r="V14" s="11">
        <v>3.3772017746481202</v>
      </c>
      <c r="Y14" s="11">
        <v>40.651645829914919</v>
      </c>
      <c r="Z14" s="11">
        <v>44.687542505213337</v>
      </c>
      <c r="AA14" s="11">
        <v>41.096014157945476</v>
      </c>
      <c r="AB14" s="11">
        <v>34.664926423020219</v>
      </c>
      <c r="AC14" s="11">
        <v>40.042641018553127</v>
      </c>
      <c r="AD14" s="11">
        <v>27.342431043202879</v>
      </c>
      <c r="AF14" s="7" t="s">
        <v>23</v>
      </c>
      <c r="AG14" s="11">
        <v>3.2225284757519441</v>
      </c>
      <c r="AH14" s="11">
        <v>4.2080998598816022</v>
      </c>
      <c r="AI14" s="11">
        <v>4.4340985124593058</v>
      </c>
      <c r="AJ14" s="11">
        <v>3.7434252504061822</v>
      </c>
    </row>
    <row r="15" spans="1:39" x14ac:dyDescent="0.2">
      <c r="C15" s="10" t="s">
        <v>47</v>
      </c>
      <c r="D15" s="7"/>
      <c r="E15" s="7"/>
      <c r="F15" s="7"/>
      <c r="G15" s="7"/>
      <c r="H15" s="7"/>
      <c r="K15" s="11">
        <v>0.85669771726215238</v>
      </c>
      <c r="L15" s="11">
        <v>0.85971545368988289</v>
      </c>
      <c r="M15" s="11">
        <v>0.13960466137784389</v>
      </c>
      <c r="N15" s="11">
        <v>0.49307449988202579</v>
      </c>
      <c r="S15" s="11">
        <v>4.0020914605888702</v>
      </c>
      <c r="T15" s="11">
        <v>3.0431311297510844</v>
      </c>
      <c r="U15" s="11">
        <v>1.5301005496973312</v>
      </c>
      <c r="V15" s="11">
        <v>2.8239743609386219</v>
      </c>
      <c r="Y15" s="11">
        <v>30.271538609863853</v>
      </c>
      <c r="Z15" s="11">
        <v>33.267840053307019</v>
      </c>
      <c r="AA15" s="11">
        <v>30.62922595267267</v>
      </c>
      <c r="AB15" s="11">
        <v>25.848168190956514</v>
      </c>
      <c r="AC15" s="11">
        <v>29.810806689253205</v>
      </c>
      <c r="AD15" s="11">
        <v>20.385585575584745</v>
      </c>
      <c r="AF15" s="7" t="s">
        <v>24</v>
      </c>
      <c r="AG15" s="11">
        <v>3.2180803471452917</v>
      </c>
      <c r="AH15" s="11">
        <v>4.2154161810281705</v>
      </c>
      <c r="AI15" s="11">
        <v>4.4283833532719932</v>
      </c>
      <c r="AJ15" s="11">
        <v>3.719609078353177</v>
      </c>
    </row>
    <row r="16" spans="1:39" x14ac:dyDescent="0.2">
      <c r="B16" s="1">
        <f>COUNTA(C3:H3)</f>
        <v>6</v>
      </c>
      <c r="C16" s="7" t="s">
        <v>34</v>
      </c>
      <c r="D16" s="7" t="s">
        <v>35</v>
      </c>
      <c r="E16" s="7" t="s">
        <v>36</v>
      </c>
      <c r="F16" s="7" t="s">
        <v>37</v>
      </c>
      <c r="G16" s="7" t="s">
        <v>38</v>
      </c>
      <c r="H16" s="7" t="s">
        <v>39</v>
      </c>
      <c r="K16" s="11">
        <v>0.59849622121146318</v>
      </c>
      <c r="L16" s="11">
        <v>0.37198956030329033</v>
      </c>
      <c r="M16" s="11">
        <v>0.75897641319139109</v>
      </c>
      <c r="N16" s="11">
        <v>0.97193906431001886</v>
      </c>
      <c r="S16" s="11">
        <v>3.4092869406296287</v>
      </c>
      <c r="T16" s="11">
        <v>2.8072006260862592</v>
      </c>
      <c r="U16" s="11">
        <v>1.3596524526316336</v>
      </c>
      <c r="V16" s="11">
        <v>2.1779855607731524</v>
      </c>
      <c r="AF16" s="7" t="s">
        <v>25</v>
      </c>
      <c r="AG16" s="11">
        <v>3.2113409714999803</v>
      </c>
      <c r="AH16" s="11">
        <v>4.2257398044850127</v>
      </c>
      <c r="AI16" s="11">
        <v>4.4205801307110137</v>
      </c>
      <c r="AJ16" s="11">
        <v>3.686115674514987</v>
      </c>
    </row>
    <row r="17" spans="1:36" x14ac:dyDescent="0.2">
      <c r="B17" s="5" t="s">
        <v>60</v>
      </c>
      <c r="C17" s="11">
        <f>SIN(C$5/10000^((2*MID($B17,5,1))/$B$16))</f>
        <v>0</v>
      </c>
      <c r="D17" s="11">
        <f t="shared" ref="D17:H17" si="7">SIN(D$5/10000^((2*MID($B17,5,1))/$B$16))</f>
        <v>0.8414709848078965</v>
      </c>
      <c r="E17" s="11">
        <f t="shared" si="7"/>
        <v>0.90929742682568171</v>
      </c>
      <c r="F17" s="11">
        <f t="shared" si="7"/>
        <v>0.14112000805986721</v>
      </c>
      <c r="G17" s="11">
        <f t="shared" si="7"/>
        <v>-0.75680249530792831</v>
      </c>
      <c r="H17" s="11">
        <f t="shared" si="7"/>
        <v>-0.95892427466313845</v>
      </c>
      <c r="K17" s="11">
        <v>0.47679638517359357</v>
      </c>
      <c r="L17" s="11">
        <v>0.53388570979416028</v>
      </c>
      <c r="M17" s="11">
        <v>0.23664108012225848</v>
      </c>
      <c r="N17" s="11">
        <v>0.97679461679648905</v>
      </c>
      <c r="S17" s="11">
        <v>3.6976610635406342</v>
      </c>
      <c r="T17" s="11">
        <v>3.2509872547680296</v>
      </c>
      <c r="U17" s="11">
        <v>1.7798076422780289</v>
      </c>
      <c r="V17" s="11">
        <v>2.6183157258176988</v>
      </c>
      <c r="AF17" s="7" t="s">
        <v>26</v>
      </c>
      <c r="AG17" s="11">
        <v>3.2196382392856462</v>
      </c>
      <c r="AH17" s="11">
        <v>4.210728454969991</v>
      </c>
      <c r="AI17" s="11">
        <v>4.4308832573686736</v>
      </c>
      <c r="AJ17" s="11">
        <v>3.73161059475275</v>
      </c>
    </row>
    <row r="18" spans="1:36" x14ac:dyDescent="0.2">
      <c r="B18" s="5" t="s">
        <v>61</v>
      </c>
      <c r="C18" s="11">
        <f>COS(C$5/10000^((2*MID($B18,5,1))/$B$16))</f>
        <v>1</v>
      </c>
      <c r="D18" s="11">
        <f t="shared" ref="D18:H18" si="8">COS(D$5/10000^((2*MID($B18,5,1))/$B$16))</f>
        <v>0.99892297604063041</v>
      </c>
      <c r="E18" s="11">
        <f t="shared" si="8"/>
        <v>0.99569422412373987</v>
      </c>
      <c r="F18" s="11">
        <f t="shared" si="8"/>
        <v>0.990320699135675</v>
      </c>
      <c r="G18" s="11">
        <f t="shared" si="8"/>
        <v>0.98281397590675257</v>
      </c>
      <c r="H18" s="11">
        <f t="shared" si="8"/>
        <v>0.97319022427852064</v>
      </c>
      <c r="K18" s="11">
        <v>0.87119990849994189</v>
      </c>
      <c r="L18" s="11">
        <v>0.65975387155292942</v>
      </c>
      <c r="M18" s="11">
        <v>0.1291058325677511</v>
      </c>
      <c r="N18" s="11">
        <v>0.35215484232820227</v>
      </c>
      <c r="S18" s="11">
        <v>2.6021168205404468</v>
      </c>
      <c r="T18" s="11">
        <v>2.3238127280557541</v>
      </c>
      <c r="U18" s="11">
        <v>1.0698815207905459</v>
      </c>
      <c r="V18" s="11">
        <v>1.7262005736620247</v>
      </c>
      <c r="X18" s="10" t="s">
        <v>57</v>
      </c>
      <c r="AF18" s="7" t="s">
        <v>27</v>
      </c>
      <c r="AG18" s="11">
        <v>3.202425779739547</v>
      </c>
      <c r="AH18" s="11">
        <v>4.2385054006233434</v>
      </c>
      <c r="AI18" s="11">
        <v>4.4109760978318429</v>
      </c>
      <c r="AJ18" s="11">
        <v>3.6446631409134396</v>
      </c>
    </row>
    <row r="19" spans="1:36" x14ac:dyDescent="0.2">
      <c r="B19" s="5" t="s">
        <v>62</v>
      </c>
      <c r="C19" s="11">
        <f>SIN(C$5/10000^((2*MID($B19,5,1))/$B$16))</f>
        <v>0</v>
      </c>
      <c r="D19" s="11">
        <f t="shared" ref="D19:H19" si="9">SIN(D$5/10000^((2*MID($B19,5,1))/$B$16))</f>
        <v>2.1544330233656027E-3</v>
      </c>
      <c r="E19" s="11">
        <f t="shared" si="9"/>
        <v>4.3088560467428091E-3</v>
      </c>
      <c r="F19" s="11">
        <f t="shared" si="9"/>
        <v>6.4632590701896387E-3</v>
      </c>
      <c r="G19" s="11">
        <f t="shared" si="9"/>
        <v>8.6176320938569449E-3</v>
      </c>
      <c r="H19" s="11">
        <f t="shared" si="9"/>
        <v>1.0771965118034821E-2</v>
      </c>
      <c r="X19" s="11">
        <f>SQRT(6)</f>
        <v>2.4494897427831779</v>
      </c>
      <c r="Y19" s="11">
        <f>Y10/$X$19</f>
        <v>16.119332264540031</v>
      </c>
      <c r="Z19" s="11">
        <f t="shared" ref="Z19:AD19" si="10">Z10/$X$19</f>
        <v>17.748545806583216</v>
      </c>
      <c r="AA19" s="11">
        <f t="shared" si="10"/>
        <v>16.242389226938283</v>
      </c>
      <c r="AB19" s="11">
        <f t="shared" si="10"/>
        <v>13.655843443752659</v>
      </c>
      <c r="AC19" s="11">
        <f t="shared" si="10"/>
        <v>15.838633824420281</v>
      </c>
      <c r="AD19" s="11">
        <f t="shared" si="10"/>
        <v>10.762123489397911</v>
      </c>
    </row>
    <row r="20" spans="1:36" x14ac:dyDescent="0.2">
      <c r="B20" s="5" t="s">
        <v>63</v>
      </c>
      <c r="C20" s="11">
        <f>COS(C$5/10000^((2*MID($B20,5,1))/$B$16))</f>
        <v>1</v>
      </c>
      <c r="D20" s="11">
        <f t="shared" ref="D20:H20" si="11">COS(D$5/10000^((2*MID($B20,5,1))/$B$16))</f>
        <v>0.99999999500000003</v>
      </c>
      <c r="E20" s="11">
        <f t="shared" si="11"/>
        <v>0.99999998000000012</v>
      </c>
      <c r="F20" s="11">
        <f t="shared" si="11"/>
        <v>0.99999995500000038</v>
      </c>
      <c r="G20" s="11">
        <f t="shared" si="11"/>
        <v>0.99999992000000104</v>
      </c>
      <c r="H20" s="11">
        <f t="shared" si="11"/>
        <v>0.99999987500000265</v>
      </c>
      <c r="J20" s="7" t="s">
        <v>7</v>
      </c>
      <c r="Y20" s="11">
        <f t="shared" ref="Y20:AD20" si="12">Y11/$X$19</f>
        <v>16.644400332810712</v>
      </c>
      <c r="Z20" s="11">
        <f t="shared" si="12"/>
        <v>18.330779384162401</v>
      </c>
      <c r="AA20" s="11">
        <f t="shared" si="12"/>
        <v>16.737696705213093</v>
      </c>
      <c r="AB20" s="11">
        <f t="shared" si="12"/>
        <v>14.055509055501007</v>
      </c>
      <c r="AC20" s="11">
        <f t="shared" si="12"/>
        <v>16.343970618367734</v>
      </c>
      <c r="AD20" s="11">
        <f t="shared" si="12"/>
        <v>11.074240212170203</v>
      </c>
    </row>
    <row r="21" spans="1:36" x14ac:dyDescent="0.2">
      <c r="A21" s="5"/>
      <c r="B21" s="5" t="s">
        <v>64</v>
      </c>
      <c r="C21" s="11">
        <f>SIN(C$5/10000^((2*MID($B21,5,1))/$B$16))</f>
        <v>0</v>
      </c>
      <c r="D21" s="11">
        <f t="shared" ref="D21:H21" si="13">SIN(D$5/10000^((2*MID($B21,5,1))/$B$16))</f>
        <v>4.6415888335961064E-6</v>
      </c>
      <c r="E21" s="11">
        <f t="shared" si="13"/>
        <v>9.2831776670922138E-6</v>
      </c>
      <c r="F21" s="11">
        <f t="shared" si="13"/>
        <v>1.392476650038832E-5</v>
      </c>
      <c r="G21" s="11">
        <f t="shared" si="13"/>
        <v>1.8566355333384429E-5</v>
      </c>
      <c r="H21" s="11">
        <f t="shared" si="13"/>
        <v>2.3207944165980537E-5</v>
      </c>
      <c r="K21" s="11">
        <v>0.89176503381489236</v>
      </c>
      <c r="L21" s="11">
        <v>0.18853923864247057</v>
      </c>
      <c r="M21" s="11">
        <v>0.40922180373636252</v>
      </c>
      <c r="N21" s="11">
        <v>0.70450869257984605</v>
      </c>
      <c r="R21" s="7" t="s">
        <v>51</v>
      </c>
      <c r="Y21" s="11">
        <f t="shared" ref="Y21:AD21" si="14">Y12/$X$19</f>
        <v>15.174488086898107</v>
      </c>
      <c r="Z21" s="11">
        <f t="shared" si="14"/>
        <v>16.738119183105674</v>
      </c>
      <c r="AA21" s="11">
        <f t="shared" si="14"/>
        <v>15.287254226604542</v>
      </c>
      <c r="AB21" s="11">
        <f t="shared" si="14"/>
        <v>12.830436369328508</v>
      </c>
      <c r="AC21" s="11">
        <f t="shared" si="14"/>
        <v>14.892497733814723</v>
      </c>
      <c r="AD21" s="11">
        <f t="shared" si="14"/>
        <v>10.108798834147592</v>
      </c>
    </row>
    <row r="22" spans="1:36" x14ac:dyDescent="0.2">
      <c r="B22" s="5" t="s">
        <v>65</v>
      </c>
      <c r="C22" s="11">
        <f>COS(C$5/10000^((2*MID($B22,5,1))/$B$16))</f>
        <v>1</v>
      </c>
      <c r="D22" s="11">
        <f t="shared" ref="D22:H22" si="15">COS(D$5/10000^((2*MID($B22,5,1))/$B$16))</f>
        <v>0.9999999999999768</v>
      </c>
      <c r="E22" s="11">
        <f t="shared" si="15"/>
        <v>0.99999999999990719</v>
      </c>
      <c r="F22" s="11">
        <f>COS(F$5/10000^((2*MID($B22,5,1))/$B$16))</f>
        <v>0.99999999999979117</v>
      </c>
      <c r="G22" s="11">
        <f t="shared" si="15"/>
        <v>0.99999999999962863</v>
      </c>
      <c r="H22" s="11">
        <f t="shared" si="15"/>
        <v>0.9999999999994198</v>
      </c>
      <c r="K22" s="11">
        <v>0.80134628944684261</v>
      </c>
      <c r="L22" s="11">
        <v>0.76665905615600249</v>
      </c>
      <c r="M22" s="11">
        <v>8.4095104710055657E-2</v>
      </c>
      <c r="N22" s="11">
        <v>0.21990086867552372</v>
      </c>
      <c r="S22" s="11" cm="1">
        <f t="array" ref="S22:V27">MMULT(_xlfn.ANCHORARRAY(K4),K29:N34)</f>
        <v>3.2598605285760138</v>
      </c>
      <c r="T22" s="11">
        <v>4.5077256153628973</v>
      </c>
      <c r="U22" s="11">
        <v>4.2864119122982309</v>
      </c>
      <c r="V22" s="11">
        <v>3.1045983206435874</v>
      </c>
      <c r="Y22" s="11">
        <f t="shared" ref="Y22:AD22" si="16">Y13/$X$19</f>
        <v>13.80574066222607</v>
      </c>
      <c r="Z22" s="11">
        <f t="shared" si="16"/>
        <v>15.212843344226904</v>
      </c>
      <c r="AA22" s="11">
        <f t="shared" si="16"/>
        <v>13.946395361003473</v>
      </c>
      <c r="AB22" s="11">
        <f t="shared" si="16"/>
        <v>11.731946049059392</v>
      </c>
      <c r="AC22" s="11">
        <f t="shared" si="16"/>
        <v>13.56821753142806</v>
      </c>
      <c r="AD22" s="11">
        <f t="shared" si="16"/>
        <v>9.2477584156491179</v>
      </c>
    </row>
    <row r="23" spans="1:36" x14ac:dyDescent="0.2">
      <c r="B23" s="7"/>
      <c r="K23" s="11">
        <v>0.50789918656378064</v>
      </c>
      <c r="L23" s="11">
        <v>0.43261609636387721</v>
      </c>
      <c r="M23" s="11">
        <v>0.81107180720318339</v>
      </c>
      <c r="N23" s="11">
        <v>0.14165303138729279</v>
      </c>
      <c r="S23" s="11">
        <v>3.2523577529864087</v>
      </c>
      <c r="T23" s="11">
        <v>4.1182948374208772</v>
      </c>
      <c r="U23" s="11">
        <v>4.4815204219081792</v>
      </c>
      <c r="V23" s="11">
        <v>3.9821495812459426</v>
      </c>
      <c r="Y23" s="11">
        <f t="shared" ref="Y23:AD23" si="17">Y14/$X$19</f>
        <v>16.595964914605194</v>
      </c>
      <c r="Z23" s="11">
        <f t="shared" si="17"/>
        <v>18.24361283278456</v>
      </c>
      <c r="AA23" s="11">
        <f t="shared" si="17"/>
        <v>16.777377524859954</v>
      </c>
      <c r="AB23" s="11">
        <f t="shared" si="17"/>
        <v>14.151896951253599</v>
      </c>
      <c r="AC23" s="11">
        <f t="shared" si="17"/>
        <v>16.347339741482475</v>
      </c>
      <c r="AD23" s="11">
        <f t="shared" si="17"/>
        <v>11.162500730513635</v>
      </c>
    </row>
    <row r="24" spans="1:36" x14ac:dyDescent="0.2">
      <c r="C24" s="7" t="s">
        <v>41</v>
      </c>
      <c r="D24" s="7" t="s">
        <v>42</v>
      </c>
      <c r="E24" s="7" t="s">
        <v>43</v>
      </c>
      <c r="F24" s="7" t="s">
        <v>44</v>
      </c>
      <c r="G24" s="7" t="s">
        <v>45</v>
      </c>
      <c r="H24" s="7" t="s">
        <v>46</v>
      </c>
      <c r="K24" s="11">
        <v>0.36140373425145467</v>
      </c>
      <c r="L24" s="11">
        <v>0.175980901220957</v>
      </c>
      <c r="M24" s="11">
        <v>0.1910539635547136</v>
      </c>
      <c r="N24" s="11">
        <v>0.67255760131999975</v>
      </c>
      <c r="S24" s="11">
        <v>3.1495273716719638</v>
      </c>
      <c r="T24" s="11">
        <v>4.0752712930283144</v>
      </c>
      <c r="U24" s="11">
        <v>4.276524907230618</v>
      </c>
      <c r="V24" s="11">
        <v>3.605110399749309</v>
      </c>
      <c r="Y24" s="11">
        <f t="shared" ref="Y24:AD24" si="18">Y15/$X$19</f>
        <v>12.358303887187743</v>
      </c>
      <c r="Z24" s="11">
        <f t="shared" si="18"/>
        <v>13.581538829187821</v>
      </c>
      <c r="AA24" s="11">
        <f t="shared" si="18"/>
        <v>12.504329133410005</v>
      </c>
      <c r="AB24" s="11">
        <f t="shared" si="18"/>
        <v>10.552470475580401</v>
      </c>
      <c r="AC24" s="11">
        <f t="shared" si="18"/>
        <v>12.170210868236314</v>
      </c>
      <c r="AD24" s="11">
        <f t="shared" si="18"/>
        <v>8.3223804613372572</v>
      </c>
    </row>
    <row r="25" spans="1:36" x14ac:dyDescent="0.2">
      <c r="C25" s="11">
        <f t="shared" ref="C25:H29" si="19">C8+C17</f>
        <v>0.79</v>
      </c>
      <c r="D25" s="11">
        <f t="shared" si="19"/>
        <v>1.2214709848078966</v>
      </c>
      <c r="E25" s="11">
        <f t="shared" si="19"/>
        <v>0.91929742682568172</v>
      </c>
      <c r="F25" s="11">
        <f t="shared" si="19"/>
        <v>0.26112000805986724</v>
      </c>
      <c r="G25" s="11">
        <f t="shared" si="19"/>
        <v>0.12319750469207169</v>
      </c>
      <c r="H25" s="11">
        <f t="shared" si="19"/>
        <v>-0.35892427466313848</v>
      </c>
      <c r="K25" s="11">
        <v>0.33727583270389505</v>
      </c>
      <c r="L25" s="11">
        <v>0.99137239086706308</v>
      </c>
      <c r="M25" s="11">
        <v>0.89808717116624559</v>
      </c>
      <c r="N25" s="11">
        <v>0.48048413843540083</v>
      </c>
      <c r="S25" s="11">
        <v>2.7443991559919514</v>
      </c>
      <c r="T25" s="11">
        <v>4.1068419746645493</v>
      </c>
      <c r="U25" s="11">
        <v>3.9178781478866025</v>
      </c>
      <c r="V25" s="11">
        <v>2.7670529313988812</v>
      </c>
    </row>
    <row r="26" spans="1:36" x14ac:dyDescent="0.2">
      <c r="C26" s="11">
        <f t="shared" si="19"/>
        <v>1.6</v>
      </c>
      <c r="D26" s="11">
        <f t="shared" si="19"/>
        <v>1.1189229760406305</v>
      </c>
      <c r="E26" s="11">
        <f t="shared" si="19"/>
        <v>1.5056942241237399</v>
      </c>
      <c r="F26" s="11">
        <f t="shared" si="19"/>
        <v>1.5903206991356749</v>
      </c>
      <c r="G26" s="11">
        <f t="shared" si="19"/>
        <v>1.3928139759067526</v>
      </c>
      <c r="H26" s="11">
        <f t="shared" si="19"/>
        <v>1.3031902242785207</v>
      </c>
      <c r="K26" s="11">
        <v>0.73204759644352224</v>
      </c>
      <c r="L26" s="11">
        <v>0.49140192629355883</v>
      </c>
      <c r="M26" s="11">
        <v>1.5495502484527024E-2</v>
      </c>
      <c r="N26" s="11">
        <v>0.40366077827622215</v>
      </c>
      <c r="S26" s="11">
        <v>3.1172520533744712</v>
      </c>
      <c r="T26" s="11">
        <v>4.6668695079784959</v>
      </c>
      <c r="U26" s="11">
        <v>4.5789652599249022</v>
      </c>
      <c r="V26" s="11">
        <v>3.1788534090621248</v>
      </c>
      <c r="X26" s="7" t="s">
        <v>58</v>
      </c>
    </row>
    <row r="27" spans="1:36" x14ac:dyDescent="0.2">
      <c r="C27" s="11">
        <f t="shared" si="19"/>
        <v>0.96</v>
      </c>
      <c r="D27" s="11">
        <f t="shared" si="19"/>
        <v>6.2154433023365603E-2</v>
      </c>
      <c r="E27" s="11">
        <f t="shared" si="19"/>
        <v>0.27430885604674282</v>
      </c>
      <c r="F27" s="11">
        <f t="shared" si="19"/>
        <v>0.65646325907018965</v>
      </c>
      <c r="G27" s="11">
        <f t="shared" si="19"/>
        <v>0.79861763209385694</v>
      </c>
      <c r="H27" s="11">
        <f t="shared" si="19"/>
        <v>0.7607719651180348</v>
      </c>
      <c r="S27" s="11">
        <v>2.0673655874392494</v>
      </c>
      <c r="T27" s="11">
        <v>3.9495845936700804</v>
      </c>
      <c r="U27" s="11">
        <v>3.4082530910296418</v>
      </c>
      <c r="V27" s="11">
        <v>1.8996921813549812</v>
      </c>
      <c r="X27" s="7"/>
      <c r="Y27" s="13">
        <f>EXP(Y19)</f>
        <v>10012373.78503558</v>
      </c>
      <c r="Z27" s="13">
        <f t="shared" ref="Z27:AD27" si="20">EXP(Z19)</f>
        <v>51061727.736524537</v>
      </c>
      <c r="AA27" s="13">
        <f t="shared" si="20"/>
        <v>11323482.524550557</v>
      </c>
      <c r="AB27" s="13">
        <f t="shared" si="20"/>
        <v>852427.50274274044</v>
      </c>
      <c r="AC27" s="13">
        <f t="shared" si="20"/>
        <v>7561905.9367707325</v>
      </c>
      <c r="AD27" s="13">
        <f t="shared" si="20"/>
        <v>47198.78781687111</v>
      </c>
    </row>
    <row r="28" spans="1:36" x14ac:dyDescent="0.2">
      <c r="C28" s="11">
        <f t="shared" si="19"/>
        <v>1.6400000000000001</v>
      </c>
      <c r="D28" s="11">
        <f t="shared" si="19"/>
        <v>1.7899999950000001</v>
      </c>
      <c r="E28" s="11">
        <f t="shared" si="19"/>
        <v>1.3099999800000002</v>
      </c>
      <c r="F28" s="11">
        <f t="shared" si="19"/>
        <v>1.2199999550000005</v>
      </c>
      <c r="G28" s="11">
        <f t="shared" si="19"/>
        <v>1.619999920000001</v>
      </c>
      <c r="H28" s="11">
        <f t="shared" si="19"/>
        <v>1.4799998750000025</v>
      </c>
      <c r="J28" s="7" t="s">
        <v>8</v>
      </c>
      <c r="X28" s="7"/>
      <c r="Y28" s="13">
        <f t="shared" ref="Y28:AD28" si="21">EXP(Y20)</f>
        <v>16926657.987317689</v>
      </c>
      <c r="Z28" s="13">
        <f t="shared" si="21"/>
        <v>91402134.008167312</v>
      </c>
      <c r="AA28" s="13">
        <f t="shared" si="21"/>
        <v>18581865.783250574</v>
      </c>
      <c r="AB28" s="13">
        <f t="shared" si="21"/>
        <v>1271247.2403176881</v>
      </c>
      <c r="AC28" s="13">
        <f t="shared" si="21"/>
        <v>12534189.372635216</v>
      </c>
      <c r="AD28" s="13">
        <f t="shared" si="21"/>
        <v>64488.372303632619</v>
      </c>
    </row>
    <row r="29" spans="1:36" x14ac:dyDescent="0.2">
      <c r="C29" s="11">
        <f t="shared" si="19"/>
        <v>0.2</v>
      </c>
      <c r="D29" s="11">
        <f t="shared" si="19"/>
        <v>0.74000464158883361</v>
      </c>
      <c r="E29" s="11">
        <f t="shared" si="19"/>
        <v>0.5900092831776671</v>
      </c>
      <c r="F29" s="11">
        <f t="shared" si="19"/>
        <v>0.37001392476650036</v>
      </c>
      <c r="G29" s="11">
        <f t="shared" si="19"/>
        <v>0.70001856635533333</v>
      </c>
      <c r="H29" s="11">
        <f t="shared" si="19"/>
        <v>0.21002320794416598</v>
      </c>
      <c r="K29" s="11">
        <v>0.75797117516834445</v>
      </c>
      <c r="L29" s="11">
        <v>2.7872087837194526E-2</v>
      </c>
      <c r="M29" s="11">
        <v>0.38380590532755698</v>
      </c>
      <c r="N29" s="11">
        <v>0.88644003434339347</v>
      </c>
      <c r="X29" s="7"/>
      <c r="Y29" s="13">
        <f t="shared" ref="Y29:AD29" si="22">EXP(Y21)</f>
        <v>3892211.5928139361</v>
      </c>
      <c r="Z29" s="13">
        <f t="shared" si="22"/>
        <v>18589717.869296495</v>
      </c>
      <c r="AA29" s="13">
        <f t="shared" si="22"/>
        <v>4356825.3814963708</v>
      </c>
      <c r="AB29" s="13">
        <f t="shared" si="22"/>
        <v>373411.5230175436</v>
      </c>
      <c r="AC29" s="13">
        <f t="shared" si="22"/>
        <v>2935821.1005789214</v>
      </c>
      <c r="AD29" s="13">
        <f t="shared" si="22"/>
        <v>24558.144608419316</v>
      </c>
    </row>
    <row r="30" spans="1:36" x14ac:dyDescent="0.2">
      <c r="C30" s="11">
        <f>C13+C22</f>
        <v>1.2</v>
      </c>
      <c r="D30" s="11">
        <f t="shared" ref="D30:H30" si="23">D13+D22</f>
        <v>1.7399999999999767</v>
      </c>
      <c r="E30" s="11">
        <f t="shared" si="23"/>
        <v>1.589999999999907</v>
      </c>
      <c r="F30" s="11">
        <f t="shared" si="23"/>
        <v>1.3699999999997912</v>
      </c>
      <c r="G30" s="11">
        <f t="shared" si="23"/>
        <v>1.6999999999996285</v>
      </c>
      <c r="H30" s="11">
        <f t="shared" si="23"/>
        <v>1.2099999999994198</v>
      </c>
      <c r="K30" s="11">
        <v>0.47643459271044808</v>
      </c>
      <c r="L30" s="11">
        <v>0.91304842274419595</v>
      </c>
      <c r="M30" s="11">
        <v>0.78622350274468999</v>
      </c>
      <c r="N30" s="11">
        <v>0.45585277820706471</v>
      </c>
      <c r="X30" s="7"/>
      <c r="Y30" s="13">
        <f t="shared" ref="Y30:AD30" si="24">EXP(Y22)</f>
        <v>990277.67464787932</v>
      </c>
      <c r="Z30" s="13">
        <f t="shared" si="24"/>
        <v>4044398.2933748746</v>
      </c>
      <c r="AA30" s="13">
        <f t="shared" si="24"/>
        <v>1139836.4680517616</v>
      </c>
      <c r="AB30" s="13">
        <f t="shared" si="24"/>
        <v>124485.69006692462</v>
      </c>
      <c r="AC30" s="13">
        <f t="shared" si="24"/>
        <v>780911.83211252675</v>
      </c>
      <c r="AD30" s="13">
        <f t="shared" si="24"/>
        <v>10381.26912526486</v>
      </c>
    </row>
    <row r="31" spans="1:36" x14ac:dyDescent="0.2">
      <c r="K31" s="11">
        <v>0.86429112657469365</v>
      </c>
      <c r="L31" s="11">
        <v>0.68570913557338919</v>
      </c>
      <c r="M31" s="11">
        <v>0.6368532726474101</v>
      </c>
      <c r="N31" s="11">
        <v>0.19001467154316853</v>
      </c>
      <c r="X31" s="7"/>
      <c r="Y31" s="13">
        <f t="shared" ref="Y31:AD31" si="25">EXP(Y23)</f>
        <v>16126346.396297418</v>
      </c>
      <c r="Z31" s="13">
        <f t="shared" si="25"/>
        <v>83772289.185130894</v>
      </c>
      <c r="AA31" s="13">
        <f t="shared" si="25"/>
        <v>19334034.083035093</v>
      </c>
      <c r="AB31" s="13">
        <f t="shared" si="25"/>
        <v>1399879.8244935637</v>
      </c>
      <c r="AC31" s="13">
        <f t="shared" si="25"/>
        <v>12576489.817465665</v>
      </c>
      <c r="AD31" s="13">
        <f t="shared" si="25"/>
        <v>70438.884795950042</v>
      </c>
    </row>
    <row r="32" spans="1:36" x14ac:dyDescent="0.2">
      <c r="K32" s="11">
        <v>0.125785467657066</v>
      </c>
      <c r="L32" s="11">
        <v>0.80236910576151776</v>
      </c>
      <c r="M32" s="11">
        <v>0.58432833445408672</v>
      </c>
      <c r="N32" s="11">
        <v>0.18246266402298605</v>
      </c>
      <c r="X32" s="7"/>
      <c r="Y32" s="13">
        <f t="shared" ref="Y32:AD32" si="26">EXP(Y24)</f>
        <v>232885.89398053169</v>
      </c>
      <c r="Z32" s="13">
        <f t="shared" si="26"/>
        <v>791384.18897864304</v>
      </c>
      <c r="AA32" s="13">
        <f t="shared" si="26"/>
        <v>269501.47257326409</v>
      </c>
      <c r="AB32" s="13">
        <f t="shared" si="26"/>
        <v>38271.871340089441</v>
      </c>
      <c r="AC32" s="13">
        <f t="shared" si="26"/>
        <v>192954.72757806804</v>
      </c>
      <c r="AD32" s="13">
        <f t="shared" si="26"/>
        <v>4114.9438233338042</v>
      </c>
    </row>
    <row r="33" spans="3:30" x14ac:dyDescent="0.2">
      <c r="K33" s="11">
        <v>0.58565260699311772</v>
      </c>
      <c r="L33" s="11">
        <v>0.13399195098927508</v>
      </c>
      <c r="M33" s="11">
        <v>0.82639500123555798</v>
      </c>
      <c r="N33" s="11">
        <v>0.71250555767842916</v>
      </c>
      <c r="X33" s="7"/>
    </row>
    <row r="34" spans="3:30" x14ac:dyDescent="0.2">
      <c r="C34" s="1">
        <f>SIN(1)</f>
        <v>0.8414709848078965</v>
      </c>
      <c r="K34" s="11">
        <v>0.62135815165698938</v>
      </c>
      <c r="L34" s="11">
        <v>0.85322057981966803</v>
      </c>
      <c r="M34" s="11">
        <v>0.82524252683719135</v>
      </c>
      <c r="N34" s="11">
        <v>0.87566023597181508</v>
      </c>
      <c r="X34" s="7" t="s">
        <v>18</v>
      </c>
    </row>
    <row r="35" spans="3:30" x14ac:dyDescent="0.2">
      <c r="Y35" s="11">
        <f>Y27/SUM($Y$27:$AD$27)</f>
        <v>0.12382492224100951</v>
      </c>
      <c r="Z35" s="11">
        <f t="shared" ref="Z35:AD35" si="27">Z27/SUM($Y$27:$AD$27)</f>
        <v>0.6314900544281149</v>
      </c>
      <c r="AA35" s="11">
        <f t="shared" si="27"/>
        <v>0.14003965225464463</v>
      </c>
      <c r="AB35" s="11">
        <f t="shared" si="27"/>
        <v>1.0542132316411783E-2</v>
      </c>
      <c r="AC35" s="11">
        <f t="shared" si="27"/>
        <v>9.3519522414747383E-2</v>
      </c>
      <c r="AD35" s="11">
        <f t="shared" si="27"/>
        <v>5.8371634507182991E-4</v>
      </c>
    </row>
    <row r="36" spans="3:30" x14ac:dyDescent="0.2">
      <c r="C36" s="7"/>
      <c r="D36" s="7"/>
      <c r="E36" s="7"/>
      <c r="F36" s="7"/>
      <c r="G36" s="7"/>
      <c r="H36" s="7"/>
      <c r="Y36" s="11">
        <f>Y28/SUM($Y$28:$AD$28)</f>
        <v>0.12023432248248282</v>
      </c>
      <c r="Z36" s="11">
        <f t="shared" ref="Z36:AD36" si="28">Z28/SUM($Y$28:$AD$28)</f>
        <v>0.64925241971327829</v>
      </c>
      <c r="AA36" s="11">
        <f t="shared" si="28"/>
        <v>0.13199168108574783</v>
      </c>
      <c r="AB36" s="11">
        <f t="shared" si="28"/>
        <v>9.0299898988828384E-3</v>
      </c>
      <c r="AC36" s="11">
        <f t="shared" si="28"/>
        <v>8.9033509639946773E-2</v>
      </c>
      <c r="AD36" s="11">
        <f t="shared" si="28"/>
        <v>4.5807717966150528E-4</v>
      </c>
    </row>
    <row r="37" spans="3:30" x14ac:dyDescent="0.2">
      <c r="Y37" s="11">
        <f>Y29/SUM($Y$29:$AD$29)</f>
        <v>0.12899844921570844</v>
      </c>
      <c r="Z37" s="11">
        <f t="shared" ref="Z37:AD37" si="29">Z29/SUM($Y$29:$AD$29)</f>
        <v>0.6161136719607494</v>
      </c>
      <c r="AA37" s="11">
        <f t="shared" si="29"/>
        <v>0.14439701036662941</v>
      </c>
      <c r="AB37" s="11">
        <f t="shared" si="29"/>
        <v>1.2375870694561605E-2</v>
      </c>
      <c r="AC37" s="11">
        <f t="shared" si="29"/>
        <v>9.7301074239809313E-2</v>
      </c>
      <c r="AD37" s="11">
        <f t="shared" si="29"/>
        <v>8.1392352254181389E-4</v>
      </c>
    </row>
    <row r="38" spans="3:30" x14ac:dyDescent="0.2">
      <c r="Y38" s="11">
        <f>Y30/SUM($Y$30:$AD$30)</f>
        <v>0.13966671366387773</v>
      </c>
      <c r="Z38" s="11">
        <f t="shared" ref="Z38:AD38" si="30">Z30/SUM($Y$30:$AD$30)</f>
        <v>0.57041356464419812</v>
      </c>
      <c r="AA38" s="11">
        <f t="shared" si="30"/>
        <v>0.16076017634512269</v>
      </c>
      <c r="AB38" s="11">
        <f t="shared" si="30"/>
        <v>1.7557204080168368E-2</v>
      </c>
      <c r="AC38" s="11">
        <f t="shared" si="30"/>
        <v>0.11013818855522151</v>
      </c>
      <c r="AD38" s="11">
        <f t="shared" si="30"/>
        <v>1.4641527114115545E-3</v>
      </c>
    </row>
    <row r="39" spans="3:30" x14ac:dyDescent="0.2">
      <c r="Y39" s="11">
        <f>Y31/SUM($Y$31:$AD$31)</f>
        <v>0.12099647008792039</v>
      </c>
      <c r="Z39" s="11">
        <f t="shared" ref="Z39:AD39" si="31">Z31/SUM($Y$31:$AD$31)</f>
        <v>0.62854604716369922</v>
      </c>
      <c r="AA39" s="11">
        <f t="shared" si="31"/>
        <v>0.14506384887924148</v>
      </c>
      <c r="AB39" s="11">
        <f t="shared" si="31"/>
        <v>1.0503341125669247E-2</v>
      </c>
      <c r="AC39" s="11">
        <f t="shared" si="31"/>
        <v>9.4361787637117972E-2</v>
      </c>
      <c r="AD39" s="11">
        <f t="shared" si="31"/>
        <v>5.2850510635170736E-4</v>
      </c>
    </row>
    <row r="40" spans="3:30" x14ac:dyDescent="0.2">
      <c r="Y40" s="11">
        <f>Y32/SUM($Y$32:$AD$32)</f>
        <v>0.15230128774870502</v>
      </c>
      <c r="Z40" s="11">
        <f t="shared" ref="Z40:AD40" si="32">Z32/SUM($Y$32:$AD$32)</f>
        <v>0.51754457526520514</v>
      </c>
      <c r="AA40" s="11">
        <f t="shared" si="32"/>
        <v>0.17624691913075533</v>
      </c>
      <c r="AB40" s="11">
        <f t="shared" si="32"/>
        <v>2.5028803548469307E-2</v>
      </c>
      <c r="AC40" s="11">
        <f t="shared" si="32"/>
        <v>0.12618734859826669</v>
      </c>
      <c r="AD40" s="11">
        <f t="shared" si="32"/>
        <v>2.6910657085985148E-3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attention_calculations</vt:lpstr>
      <vt:lpstr>transformer_calculations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Takis Fessas</dc:creator>
  <cp:lastModifiedBy>Takis Fessas</cp:lastModifiedBy>
  <dcterms:created xsi:type="dcterms:W3CDTF">2025-08-08T20:20:39Z</dcterms:created>
  <dcterms:modified xsi:type="dcterms:W3CDTF">2025-08-10T13:58:07Z</dcterms:modified>
</cp:coreProperties>
</file>